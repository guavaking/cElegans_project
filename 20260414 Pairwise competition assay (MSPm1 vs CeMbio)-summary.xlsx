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13_ncr:1_{293CC6AF-61E7-403A-842F-061BF4A96FBB}" xr6:coauthVersionLast="47" xr6:coauthVersionMax="47" xr10:uidLastSave="{00000000-0000-0000-0000-000000000000}"/>
  <bookViews>
    <workbookView xWindow="-120" yWindow="-120" windowWidth="29040" windowHeight="15840" activeTab="1" xr2:uid="{49EAF373-55EF-4062-A116-2834629EE943}"/>
  </bookViews>
  <sheets>
    <sheet name="0 hr" sheetId="1" r:id="rId1"/>
    <sheet name="24 hr" sheetId="2" r:id="rId2"/>
    <sheet name="0+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9" i="3" l="1"/>
  <c r="BI22" i="3" s="1"/>
  <c r="BH19" i="3"/>
  <c r="BH22" i="3" s="1"/>
  <c r="BG19" i="3"/>
  <c r="BG22" i="3" s="1"/>
  <c r="BF19" i="3"/>
  <c r="BF22" i="3" s="1"/>
  <c r="BE19" i="3"/>
  <c r="BE22" i="3" s="1"/>
  <c r="BD19" i="3"/>
  <c r="BD22" i="3" s="1"/>
  <c r="BC19" i="3"/>
  <c r="BC22" i="3" s="1"/>
  <c r="BB19" i="3"/>
  <c r="BB22" i="3" s="1"/>
  <c r="BA19" i="3"/>
  <c r="BA22" i="3" s="1"/>
  <c r="AZ19" i="3"/>
  <c r="AZ22" i="3" s="1"/>
  <c r="AY19" i="3"/>
  <c r="AY22" i="3" s="1"/>
  <c r="AX19" i="3"/>
  <c r="AX22" i="3" s="1"/>
  <c r="BI16" i="3"/>
  <c r="BI23" i="3" s="1"/>
  <c r="BH16" i="3"/>
  <c r="BH23" i="3" s="1"/>
  <c r="BG16" i="3"/>
  <c r="BG23" i="3" s="1"/>
  <c r="BF16" i="3"/>
  <c r="BF23" i="3" s="1"/>
  <c r="BE16" i="3"/>
  <c r="BE23" i="3" s="1"/>
  <c r="BD16" i="3"/>
  <c r="BD23" i="3" s="1"/>
  <c r="BC16" i="3"/>
  <c r="BC23" i="3" s="1"/>
  <c r="BB16" i="3"/>
  <c r="BB23" i="3" s="1"/>
  <c r="BA16" i="3"/>
  <c r="BA23" i="3" s="1"/>
  <c r="AZ16" i="3"/>
  <c r="AZ23" i="3" s="1"/>
  <c r="AY16" i="3"/>
  <c r="AY23" i="3" s="1"/>
  <c r="AX16" i="3"/>
  <c r="AX23" i="3" s="1"/>
  <c r="AW19" i="3"/>
  <c r="AW22" i="3" s="1"/>
  <c r="AV19" i="3"/>
  <c r="AV22" i="3" s="1"/>
  <c r="AU19" i="3"/>
  <c r="AU22" i="3" s="1"/>
  <c r="AT19" i="3"/>
  <c r="AT22" i="3" s="1"/>
  <c r="AS19" i="3"/>
  <c r="AS22" i="3" s="1"/>
  <c r="AR19" i="3"/>
  <c r="AR22" i="3" s="1"/>
  <c r="AQ19" i="3"/>
  <c r="AQ22" i="3" s="1"/>
  <c r="AP19" i="3"/>
  <c r="AP22" i="3" s="1"/>
  <c r="AO19" i="3"/>
  <c r="AO22" i="3" s="1"/>
  <c r="AN19" i="3"/>
  <c r="AN22" i="3" s="1"/>
  <c r="AM19" i="3"/>
  <c r="AM22" i="3" s="1"/>
  <c r="AL19" i="3"/>
  <c r="AL22" i="3" s="1"/>
  <c r="AK19" i="3"/>
  <c r="AK22" i="3" s="1"/>
  <c r="AJ19" i="3"/>
  <c r="AJ22" i="3" s="1"/>
  <c r="AI19" i="3"/>
  <c r="AI22" i="3" s="1"/>
  <c r="AH19" i="3"/>
  <c r="AH22" i="3" s="1"/>
  <c r="AG19" i="3"/>
  <c r="AG22" i="3" s="1"/>
  <c r="AF19" i="3"/>
  <c r="AF22" i="3" s="1"/>
  <c r="AE19" i="3"/>
  <c r="AE22" i="3" s="1"/>
  <c r="AD19" i="3"/>
  <c r="AD22" i="3" s="1"/>
  <c r="AC19" i="3"/>
  <c r="AC22" i="3" s="1"/>
  <c r="AB19" i="3"/>
  <c r="AB22" i="3" s="1"/>
  <c r="AA19" i="3"/>
  <c r="AA22" i="3" s="1"/>
  <c r="Z19" i="3"/>
  <c r="Z22" i="3" s="1"/>
  <c r="AW16" i="3"/>
  <c r="AW23" i="3" s="1"/>
  <c r="AV16" i="3"/>
  <c r="AV23" i="3" s="1"/>
  <c r="AU16" i="3"/>
  <c r="AU23" i="3" s="1"/>
  <c r="AT16" i="3"/>
  <c r="AT23" i="3" s="1"/>
  <c r="AS16" i="3"/>
  <c r="AS23" i="3" s="1"/>
  <c r="AR16" i="3"/>
  <c r="AR23" i="3" s="1"/>
  <c r="AQ16" i="3"/>
  <c r="AQ23" i="3" s="1"/>
  <c r="AP16" i="3"/>
  <c r="AP23" i="3" s="1"/>
  <c r="AO16" i="3"/>
  <c r="AO23" i="3" s="1"/>
  <c r="AN16" i="3"/>
  <c r="AN23" i="3" s="1"/>
  <c r="AM16" i="3"/>
  <c r="AM23" i="3" s="1"/>
  <c r="AL16" i="3"/>
  <c r="AL23" i="3" s="1"/>
  <c r="AK16" i="3"/>
  <c r="AK23" i="3" s="1"/>
  <c r="AJ16" i="3"/>
  <c r="AJ23" i="3" s="1"/>
  <c r="AI16" i="3"/>
  <c r="AI23" i="3" s="1"/>
  <c r="AH16" i="3"/>
  <c r="AH23" i="3" s="1"/>
  <c r="AG16" i="3"/>
  <c r="AG23" i="3" s="1"/>
  <c r="AF16" i="3"/>
  <c r="AF23" i="3" s="1"/>
  <c r="AE16" i="3"/>
  <c r="AE23" i="3" s="1"/>
  <c r="AD16" i="3"/>
  <c r="AD23" i="3" s="1"/>
  <c r="AC16" i="3"/>
  <c r="AC23" i="3" s="1"/>
  <c r="AB16" i="3"/>
  <c r="AB23" i="3" s="1"/>
  <c r="AA16" i="3"/>
  <c r="AA23" i="3" s="1"/>
  <c r="Z16" i="3"/>
  <c r="Z23" i="3" s="1"/>
  <c r="Q23" i="3"/>
  <c r="P23" i="3"/>
  <c r="O23" i="3"/>
  <c r="N23" i="3"/>
  <c r="M23" i="3"/>
  <c r="L23" i="3"/>
  <c r="K23" i="3"/>
  <c r="J23" i="3"/>
  <c r="I23" i="3"/>
  <c r="H23" i="3"/>
  <c r="G23" i="3"/>
  <c r="F23" i="3"/>
  <c r="C22" i="3"/>
  <c r="Y19" i="3"/>
  <c r="Y22" i="3" s="1"/>
  <c r="X19" i="3"/>
  <c r="X22" i="3" s="1"/>
  <c r="W19" i="3"/>
  <c r="W22" i="3" s="1"/>
  <c r="V19" i="3"/>
  <c r="V22" i="3" s="1"/>
  <c r="U19" i="3"/>
  <c r="U22" i="3" s="1"/>
  <c r="T19" i="3"/>
  <c r="T22" i="3" s="1"/>
  <c r="S19" i="3"/>
  <c r="S22" i="3" s="1"/>
  <c r="R19" i="3"/>
  <c r="R22" i="3" s="1"/>
  <c r="Q19" i="3"/>
  <c r="Q22" i="3" s="1"/>
  <c r="P19" i="3"/>
  <c r="P22" i="3" s="1"/>
  <c r="O19" i="3"/>
  <c r="O22" i="3" s="1"/>
  <c r="N19" i="3"/>
  <c r="N22" i="3" s="1"/>
  <c r="M19" i="3"/>
  <c r="M22" i="3" s="1"/>
  <c r="L19" i="3"/>
  <c r="L22" i="3" s="1"/>
  <c r="K19" i="3"/>
  <c r="K22" i="3" s="1"/>
  <c r="J19" i="3"/>
  <c r="J22" i="3" s="1"/>
  <c r="I19" i="3"/>
  <c r="I22" i="3" s="1"/>
  <c r="H19" i="3"/>
  <c r="H22" i="3" s="1"/>
  <c r="G19" i="3"/>
  <c r="G22" i="3" s="1"/>
  <c r="F19" i="3"/>
  <c r="F22" i="3" s="1"/>
  <c r="E19" i="3"/>
  <c r="E22" i="3" s="1"/>
  <c r="D19" i="3"/>
  <c r="D22" i="3" s="1"/>
  <c r="C19" i="3"/>
  <c r="B19" i="3"/>
  <c r="B22" i="3" s="1"/>
  <c r="Y16" i="3"/>
  <c r="Y23" i="3" s="1"/>
  <c r="X16" i="3"/>
  <c r="X23" i="3" s="1"/>
  <c r="W16" i="3"/>
  <c r="W23" i="3" s="1"/>
  <c r="V16" i="3"/>
  <c r="V23" i="3" s="1"/>
  <c r="U16" i="3"/>
  <c r="U23" i="3" s="1"/>
  <c r="T16" i="3"/>
  <c r="T23" i="3" s="1"/>
  <c r="S16" i="3"/>
  <c r="S23" i="3" s="1"/>
  <c r="R16" i="3"/>
  <c r="R23" i="3" s="1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E23" i="3" s="1"/>
  <c r="D16" i="3"/>
  <c r="D23" i="3" s="1"/>
  <c r="C16" i="3"/>
  <c r="C23" i="3" s="1"/>
  <c r="B16" i="3"/>
  <c r="B23" i="3" s="1"/>
  <c r="BI8" i="3"/>
  <c r="BI11" i="3" s="1"/>
  <c r="BH8" i="3"/>
  <c r="BH11" i="3" s="1"/>
  <c r="BG8" i="3"/>
  <c r="BG11" i="3" s="1"/>
  <c r="BF8" i="3"/>
  <c r="BF11" i="3" s="1"/>
  <c r="BE8" i="3"/>
  <c r="BE11" i="3" s="1"/>
  <c r="BD8" i="3"/>
  <c r="BD11" i="3" s="1"/>
  <c r="BC8" i="3"/>
  <c r="BC11" i="3" s="1"/>
  <c r="BB8" i="3"/>
  <c r="BB11" i="3" s="1"/>
  <c r="BA8" i="3"/>
  <c r="BA11" i="3" s="1"/>
  <c r="AZ8" i="3"/>
  <c r="AZ11" i="3" s="1"/>
  <c r="AY8" i="3"/>
  <c r="AY11" i="3" s="1"/>
  <c r="AX8" i="3"/>
  <c r="AX11" i="3" s="1"/>
  <c r="BI5" i="3"/>
  <c r="BI12" i="3" s="1"/>
  <c r="BH5" i="3"/>
  <c r="BH12" i="3" s="1"/>
  <c r="BG5" i="3"/>
  <c r="BG12" i="3" s="1"/>
  <c r="BF5" i="3"/>
  <c r="BF12" i="3" s="1"/>
  <c r="BE5" i="3"/>
  <c r="BE12" i="3" s="1"/>
  <c r="BD5" i="3"/>
  <c r="BD12" i="3" s="1"/>
  <c r="BC5" i="3"/>
  <c r="BC12" i="3" s="1"/>
  <c r="BB5" i="3"/>
  <c r="BB12" i="3" s="1"/>
  <c r="BA5" i="3"/>
  <c r="BA12" i="3" s="1"/>
  <c r="AZ5" i="3"/>
  <c r="AZ12" i="3" s="1"/>
  <c r="AY5" i="3"/>
  <c r="AY12" i="3" s="1"/>
  <c r="AX5" i="3"/>
  <c r="AX12" i="3" s="1"/>
  <c r="AW8" i="3"/>
  <c r="AW11" i="3" s="1"/>
  <c r="AV8" i="3"/>
  <c r="AV11" i="3" s="1"/>
  <c r="AU8" i="3"/>
  <c r="AU11" i="3" s="1"/>
  <c r="AT8" i="3"/>
  <c r="AT11" i="3" s="1"/>
  <c r="AS8" i="3"/>
  <c r="AS11" i="3" s="1"/>
  <c r="AR8" i="3"/>
  <c r="AR11" i="3" s="1"/>
  <c r="AQ8" i="3"/>
  <c r="AQ11" i="3" s="1"/>
  <c r="AP8" i="3"/>
  <c r="AP11" i="3" s="1"/>
  <c r="AO8" i="3"/>
  <c r="AO11" i="3" s="1"/>
  <c r="AN8" i="3"/>
  <c r="AN11" i="3" s="1"/>
  <c r="AM8" i="3"/>
  <c r="AM11" i="3" s="1"/>
  <c r="AL8" i="3"/>
  <c r="AL11" i="3" s="1"/>
  <c r="AK8" i="3"/>
  <c r="AK11" i="3" s="1"/>
  <c r="AJ8" i="3"/>
  <c r="AJ11" i="3" s="1"/>
  <c r="AI8" i="3"/>
  <c r="AI11" i="3" s="1"/>
  <c r="AH8" i="3"/>
  <c r="AH11" i="3" s="1"/>
  <c r="AG8" i="3"/>
  <c r="AG11" i="3" s="1"/>
  <c r="AF8" i="3"/>
  <c r="AF11" i="3" s="1"/>
  <c r="AE8" i="3"/>
  <c r="AE11" i="3" s="1"/>
  <c r="AD8" i="3"/>
  <c r="AD11" i="3" s="1"/>
  <c r="AC8" i="3"/>
  <c r="AC11" i="3" s="1"/>
  <c r="AB8" i="3"/>
  <c r="AB11" i="3" s="1"/>
  <c r="AA8" i="3"/>
  <c r="AA11" i="3" s="1"/>
  <c r="Z8" i="3"/>
  <c r="Z11" i="3" s="1"/>
  <c r="AW5" i="3"/>
  <c r="AW12" i="3" s="1"/>
  <c r="AV5" i="3"/>
  <c r="AV12" i="3" s="1"/>
  <c r="AU5" i="3"/>
  <c r="AU12" i="3" s="1"/>
  <c r="AT5" i="3"/>
  <c r="AT12" i="3" s="1"/>
  <c r="AS5" i="3"/>
  <c r="AS12" i="3" s="1"/>
  <c r="AR5" i="3"/>
  <c r="AR12" i="3" s="1"/>
  <c r="AQ5" i="3"/>
  <c r="AQ12" i="3" s="1"/>
  <c r="AP5" i="3"/>
  <c r="AP12" i="3" s="1"/>
  <c r="AO5" i="3"/>
  <c r="AO12" i="3" s="1"/>
  <c r="AN5" i="3"/>
  <c r="AN12" i="3" s="1"/>
  <c r="AM5" i="3"/>
  <c r="AM12" i="3" s="1"/>
  <c r="AL5" i="3"/>
  <c r="AL12" i="3" s="1"/>
  <c r="AK5" i="3"/>
  <c r="AK12" i="3" s="1"/>
  <c r="AJ5" i="3"/>
  <c r="AJ12" i="3" s="1"/>
  <c r="AI5" i="3"/>
  <c r="AI12" i="3" s="1"/>
  <c r="AH5" i="3"/>
  <c r="AH12" i="3" s="1"/>
  <c r="AG5" i="3"/>
  <c r="AG12" i="3" s="1"/>
  <c r="AF5" i="3"/>
  <c r="AF12" i="3" s="1"/>
  <c r="AE5" i="3"/>
  <c r="AE12" i="3" s="1"/>
  <c r="AD5" i="3"/>
  <c r="AD12" i="3" s="1"/>
  <c r="AC5" i="3"/>
  <c r="AC12" i="3" s="1"/>
  <c r="AB5" i="3"/>
  <c r="AB12" i="3" s="1"/>
  <c r="AA5" i="3"/>
  <c r="AA12" i="3" s="1"/>
  <c r="Z5" i="3"/>
  <c r="Z12" i="3" s="1"/>
  <c r="Y11" i="3"/>
  <c r="X11" i="3"/>
  <c r="W11" i="3"/>
  <c r="Y8" i="3"/>
  <c r="X8" i="3"/>
  <c r="W8" i="3"/>
  <c r="V8" i="3"/>
  <c r="V11" i="3" s="1"/>
  <c r="U8" i="3"/>
  <c r="U11" i="3" s="1"/>
  <c r="T8" i="3"/>
  <c r="T11" i="3" s="1"/>
  <c r="S8" i="3"/>
  <c r="S11" i="3" s="1"/>
  <c r="R8" i="3"/>
  <c r="R11" i="3" s="1"/>
  <c r="Q8" i="3"/>
  <c r="Q11" i="3" s="1"/>
  <c r="P8" i="3"/>
  <c r="P11" i="3" s="1"/>
  <c r="O8" i="3"/>
  <c r="O11" i="3" s="1"/>
  <c r="N8" i="3"/>
  <c r="N11" i="3" s="1"/>
  <c r="M8" i="3"/>
  <c r="M11" i="3" s="1"/>
  <c r="L8" i="3"/>
  <c r="L11" i="3" s="1"/>
  <c r="K8" i="3"/>
  <c r="K11" i="3" s="1"/>
  <c r="J8" i="3"/>
  <c r="J11" i="3" s="1"/>
  <c r="I8" i="3"/>
  <c r="I11" i="3" s="1"/>
  <c r="H8" i="3"/>
  <c r="H11" i="3" s="1"/>
  <c r="G8" i="3"/>
  <c r="G11" i="3" s="1"/>
  <c r="F8" i="3"/>
  <c r="F11" i="3" s="1"/>
  <c r="E8" i="3"/>
  <c r="E11" i="3" s="1"/>
  <c r="D8" i="3"/>
  <c r="D11" i="3" s="1"/>
  <c r="C8" i="3"/>
  <c r="C11" i="3" s="1"/>
  <c r="B8" i="3"/>
  <c r="B11" i="3" s="1"/>
  <c r="Y5" i="3"/>
  <c r="Y12" i="3" s="1"/>
  <c r="X5" i="3"/>
  <c r="X12" i="3" s="1"/>
  <c r="W5" i="3"/>
  <c r="W12" i="3" s="1"/>
  <c r="V5" i="3"/>
  <c r="V12" i="3" s="1"/>
  <c r="U5" i="3"/>
  <c r="U12" i="3" s="1"/>
  <c r="T5" i="3"/>
  <c r="T12" i="3" s="1"/>
  <c r="S5" i="3"/>
  <c r="S12" i="3" s="1"/>
  <c r="R5" i="3"/>
  <c r="R12" i="3" s="1"/>
  <c r="Q5" i="3"/>
  <c r="Q12" i="3" s="1"/>
  <c r="P5" i="3"/>
  <c r="P12" i="3" s="1"/>
  <c r="O5" i="3"/>
  <c r="O12" i="3" s="1"/>
  <c r="N5" i="3"/>
  <c r="N12" i="3" s="1"/>
  <c r="M5" i="3"/>
  <c r="M12" i="3" s="1"/>
  <c r="L5" i="3"/>
  <c r="L12" i="3" s="1"/>
  <c r="K5" i="3"/>
  <c r="K12" i="3" s="1"/>
  <c r="J5" i="3"/>
  <c r="J12" i="3" s="1"/>
  <c r="I5" i="3"/>
  <c r="I12" i="3" s="1"/>
  <c r="H5" i="3"/>
  <c r="H12" i="3" s="1"/>
  <c r="G5" i="3"/>
  <c r="G12" i="3" s="1"/>
  <c r="F5" i="3"/>
  <c r="F12" i="3" s="1"/>
  <c r="E5" i="3"/>
  <c r="E12" i="3" s="1"/>
  <c r="D5" i="3"/>
  <c r="D12" i="3" s="1"/>
  <c r="C5" i="3"/>
  <c r="C12" i="3" s="1"/>
  <c r="B5" i="3"/>
  <c r="B12" i="3" s="1"/>
  <c r="Y20" i="2"/>
  <c r="Y23" i="2" s="1"/>
  <c r="X20" i="2"/>
  <c r="X23" i="2" s="1"/>
  <c r="W20" i="2"/>
  <c r="W23" i="2" s="1"/>
  <c r="Y17" i="2"/>
  <c r="Y24" i="2" s="1"/>
  <c r="X17" i="2"/>
  <c r="X24" i="2" s="1"/>
  <c r="W17" i="2"/>
  <c r="W24" i="2" s="1"/>
  <c r="Y8" i="2"/>
  <c r="Y11" i="2" s="1"/>
  <c r="X8" i="2"/>
  <c r="X11" i="2" s="1"/>
  <c r="W8" i="2"/>
  <c r="W11" i="2" s="1"/>
  <c r="Y5" i="2"/>
  <c r="Y12" i="2" s="1"/>
  <c r="X5" i="2"/>
  <c r="X12" i="2" s="1"/>
  <c r="W5" i="2"/>
  <c r="W12" i="2" s="1"/>
  <c r="S20" i="2"/>
  <c r="S23" i="2" s="1"/>
  <c r="R20" i="2"/>
  <c r="R23" i="2" s="1"/>
  <c r="Q20" i="2"/>
  <c r="Q23" i="2" s="1"/>
  <c r="S17" i="2"/>
  <c r="S24" i="2" s="1"/>
  <c r="R17" i="2"/>
  <c r="R24" i="2" s="1"/>
  <c r="Q17" i="2"/>
  <c r="Q24" i="2" s="1"/>
  <c r="S8" i="2"/>
  <c r="S11" i="2" s="1"/>
  <c r="R8" i="2"/>
  <c r="R11" i="2" s="1"/>
  <c r="Q8" i="2"/>
  <c r="Q11" i="2" s="1"/>
  <c r="S5" i="2"/>
  <c r="S12" i="2" s="1"/>
  <c r="R5" i="2"/>
  <c r="R12" i="2" s="1"/>
  <c r="Q5" i="2"/>
  <c r="Q12" i="2" s="1"/>
  <c r="M32" i="2"/>
  <c r="M35" i="2" s="1"/>
  <c r="L32" i="2"/>
  <c r="L35" i="2" s="1"/>
  <c r="K32" i="2"/>
  <c r="K35" i="2" s="1"/>
  <c r="M29" i="2"/>
  <c r="M36" i="2" s="1"/>
  <c r="L29" i="2"/>
  <c r="L36" i="2" s="1"/>
  <c r="K29" i="2"/>
  <c r="K36" i="2" s="1"/>
  <c r="M8" i="2"/>
  <c r="M11" i="2" s="1"/>
  <c r="L8" i="2"/>
  <c r="L11" i="2" s="1"/>
  <c r="K8" i="2"/>
  <c r="K11" i="2" s="1"/>
  <c r="M5" i="2"/>
  <c r="M12" i="2" s="1"/>
  <c r="L5" i="2"/>
  <c r="L12" i="2" s="1"/>
  <c r="K5" i="2"/>
  <c r="K12" i="2" s="1"/>
  <c r="K17" i="2"/>
  <c r="K24" i="2" s="1"/>
  <c r="L17" i="2"/>
  <c r="L24" i="2" s="1"/>
  <c r="M17" i="2"/>
  <c r="M24" i="2" s="1"/>
  <c r="K20" i="2"/>
  <c r="L20" i="2"/>
  <c r="L23" i="2" s="1"/>
  <c r="M20" i="2"/>
  <c r="K23" i="2"/>
  <c r="M23" i="2"/>
  <c r="G32" i="2"/>
  <c r="G35" i="2" s="1"/>
  <c r="F32" i="2"/>
  <c r="F35" i="2" s="1"/>
  <c r="E32" i="2"/>
  <c r="E35" i="2" s="1"/>
  <c r="G29" i="2"/>
  <c r="G36" i="2" s="1"/>
  <c r="F29" i="2"/>
  <c r="F36" i="2" s="1"/>
  <c r="E29" i="2"/>
  <c r="E36" i="2" s="1"/>
  <c r="G20" i="2"/>
  <c r="G23" i="2" s="1"/>
  <c r="F20" i="2"/>
  <c r="F23" i="2" s="1"/>
  <c r="E20" i="2"/>
  <c r="E23" i="2" s="1"/>
  <c r="G17" i="2"/>
  <c r="G24" i="2" s="1"/>
  <c r="F17" i="2"/>
  <c r="F24" i="2" s="1"/>
  <c r="E17" i="2"/>
  <c r="E24" i="2" s="1"/>
  <c r="G8" i="2"/>
  <c r="G11" i="2" s="1"/>
  <c r="F8" i="2"/>
  <c r="F11" i="2" s="1"/>
  <c r="E8" i="2"/>
  <c r="E11" i="2" s="1"/>
  <c r="G5" i="2"/>
  <c r="G12" i="2" s="1"/>
  <c r="F5" i="2"/>
  <c r="F12" i="2" s="1"/>
  <c r="E5" i="2"/>
  <c r="E12" i="2" s="1"/>
  <c r="M32" i="1"/>
  <c r="M35" i="1" s="1"/>
  <c r="L32" i="1"/>
  <c r="L35" i="1" s="1"/>
  <c r="K32" i="1"/>
  <c r="K35" i="1" s="1"/>
  <c r="M29" i="1"/>
  <c r="M36" i="1" s="1"/>
  <c r="L29" i="1"/>
  <c r="L36" i="1" s="1"/>
  <c r="K29" i="1"/>
  <c r="K36" i="1" s="1"/>
  <c r="G32" i="1"/>
  <c r="G35" i="1" s="1"/>
  <c r="F32" i="1"/>
  <c r="F35" i="1" s="1"/>
  <c r="E32" i="1"/>
  <c r="E35" i="1" s="1"/>
  <c r="G29" i="1"/>
  <c r="G36" i="1" s="1"/>
  <c r="F29" i="1"/>
  <c r="F36" i="1" s="1"/>
  <c r="E29" i="1"/>
  <c r="E36" i="1" s="1"/>
  <c r="K20" i="1"/>
  <c r="L20" i="1"/>
  <c r="M20" i="1"/>
  <c r="K17" i="1"/>
  <c r="L17" i="1"/>
  <c r="M17" i="1"/>
  <c r="G20" i="1"/>
  <c r="G23" i="1" s="1"/>
  <c r="F20" i="1"/>
  <c r="F23" i="1" s="1"/>
  <c r="E20" i="1"/>
  <c r="E23" i="1" s="1"/>
  <c r="G17" i="1"/>
  <c r="G24" i="1" s="1"/>
  <c r="F17" i="1"/>
  <c r="F24" i="1" s="1"/>
  <c r="E17" i="1"/>
  <c r="E24" i="1" s="1"/>
  <c r="S20" i="1"/>
  <c r="S23" i="1" s="1"/>
  <c r="R20" i="1"/>
  <c r="R23" i="1" s="1"/>
  <c r="Q20" i="1"/>
  <c r="Q23" i="1" s="1"/>
  <c r="S17" i="1"/>
  <c r="S24" i="1" s="1"/>
  <c r="R17" i="1"/>
  <c r="R24" i="1" s="1"/>
  <c r="Q17" i="1"/>
  <c r="Q24" i="1" s="1"/>
  <c r="Y20" i="1"/>
  <c r="Y23" i="1" s="1"/>
  <c r="X20" i="1"/>
  <c r="X23" i="1" s="1"/>
  <c r="W20" i="1"/>
  <c r="W23" i="1" s="1"/>
  <c r="Y17" i="1"/>
  <c r="Y24" i="1" s="1"/>
  <c r="X17" i="1"/>
  <c r="X24" i="1" s="1"/>
  <c r="W17" i="1"/>
  <c r="W24" i="1" s="1"/>
  <c r="Y8" i="1"/>
  <c r="Y11" i="1" s="1"/>
  <c r="X8" i="1"/>
  <c r="X11" i="1" s="1"/>
  <c r="W8" i="1"/>
  <c r="W11" i="1" s="1"/>
  <c r="Y5" i="1"/>
  <c r="Y12" i="1" s="1"/>
  <c r="X5" i="1"/>
  <c r="X12" i="1" s="1"/>
  <c r="W5" i="1"/>
  <c r="W12" i="1" s="1"/>
  <c r="S8" i="1"/>
  <c r="S11" i="1" s="1"/>
  <c r="R8" i="1"/>
  <c r="R11" i="1" s="1"/>
  <c r="Q8" i="1"/>
  <c r="Q11" i="1" s="1"/>
  <c r="S5" i="1"/>
  <c r="S12" i="1" s="1"/>
  <c r="R5" i="1"/>
  <c r="R12" i="1" s="1"/>
  <c r="Q5" i="1"/>
  <c r="Q12" i="1" s="1"/>
  <c r="M8" i="1"/>
  <c r="M11" i="1" s="1"/>
  <c r="L8" i="1"/>
  <c r="L11" i="1" s="1"/>
  <c r="K8" i="1"/>
  <c r="K11" i="1" s="1"/>
  <c r="M5" i="1"/>
  <c r="M12" i="1" s="1"/>
  <c r="L5" i="1"/>
  <c r="L12" i="1" s="1"/>
  <c r="K5" i="1"/>
  <c r="K12" i="1" s="1"/>
  <c r="G8" i="1"/>
  <c r="G11" i="1" s="1"/>
  <c r="F8" i="1"/>
  <c r="F11" i="1" s="1"/>
  <c r="E8" i="1"/>
  <c r="E11" i="1" s="1"/>
  <c r="G5" i="1"/>
  <c r="G12" i="1" s="1"/>
  <c r="F5" i="1"/>
  <c r="F12" i="1" s="1"/>
  <c r="E5" i="1"/>
  <c r="E12" i="1" s="1"/>
  <c r="C26" i="3" l="1"/>
  <c r="I26" i="3"/>
  <c r="S26" i="3"/>
  <c r="T26" i="3"/>
  <c r="U26" i="3"/>
  <c r="V26" i="3"/>
  <c r="W26" i="3"/>
  <c r="AC26" i="3"/>
  <c r="AM26" i="3"/>
  <c r="AN26" i="3"/>
  <c r="AO26" i="3"/>
  <c r="AP26" i="3"/>
  <c r="AQ26" i="3"/>
  <c r="AW26" i="3"/>
  <c r="BA26" i="3"/>
  <c r="BG26" i="3"/>
  <c r="BH26" i="3"/>
  <c r="BI26" i="3"/>
  <c r="B26" i="3"/>
  <c r="AZ26" i="3"/>
  <c r="AY26" i="3"/>
  <c r="AX26" i="3"/>
  <c r="BF26" i="3"/>
  <c r="BE26" i="3"/>
  <c r="BD26" i="3"/>
  <c r="AS26" i="3"/>
  <c r="AR26" i="3"/>
  <c r="AK26" i="3"/>
  <c r="AJ26" i="3"/>
  <c r="K26" i="3"/>
  <c r="J26" i="3"/>
  <c r="O26" i="3"/>
  <c r="H26" i="3"/>
  <c r="G26" i="3"/>
  <c r="F26" i="3"/>
  <c r="AL26" i="3" l="1"/>
  <c r="N26" i="3"/>
  <c r="AE26" i="3"/>
  <c r="AV26" i="3"/>
  <c r="AB26" i="3"/>
  <c r="R26" i="3"/>
  <c r="AI26" i="3"/>
  <c r="AU26" i="3"/>
  <c r="AA26" i="3"/>
  <c r="BC26" i="3"/>
  <c r="AH26" i="3"/>
  <c r="L26" i="3"/>
  <c r="AT26" i="3"/>
  <c r="Z26" i="3"/>
  <c r="Q26" i="3"/>
  <c r="BB26" i="3"/>
  <c r="M26" i="3"/>
  <c r="AD26" i="3"/>
  <c r="Y26" i="3"/>
  <c r="E26" i="3"/>
  <c r="P26" i="3"/>
  <c r="AG26" i="3"/>
  <c r="AF26" i="3"/>
  <c r="X26" i="3"/>
  <c r="D26" i="3"/>
  <c r="AZ25" i="3"/>
  <c r="AZ27" i="3" s="1"/>
  <c r="AZ28" i="3" s="1"/>
  <c r="AY25" i="3"/>
  <c r="AY27" i="3" s="1"/>
  <c r="AY28" i="3" s="1"/>
  <c r="AX25" i="3"/>
  <c r="AX27" i="3" s="1"/>
  <c r="AX28" i="3" s="1"/>
  <c r="AO25" i="3"/>
  <c r="AO27" i="3" s="1"/>
  <c r="AO28" i="3" s="1"/>
  <c r="AN25" i="3"/>
  <c r="AN27" i="3" s="1"/>
  <c r="AN28" i="3" s="1"/>
  <c r="AM25" i="3"/>
  <c r="AM27" i="3" s="1"/>
  <c r="AM28" i="3" s="1"/>
  <c r="AL25" i="3"/>
  <c r="AK25" i="3"/>
  <c r="AK27" i="3" s="1"/>
  <c r="AK28" i="3" s="1"/>
  <c r="AJ25" i="3"/>
  <c r="AJ27" i="3" s="1"/>
  <c r="AJ28" i="3" s="1"/>
  <c r="AI25" i="3"/>
  <c r="AH25" i="3"/>
  <c r="AG25" i="3"/>
  <c r="AF25" i="3"/>
  <c r="Q25" i="3"/>
  <c r="P25" i="3"/>
  <c r="O25" i="3"/>
  <c r="O27" i="3" s="1"/>
  <c r="O28" i="3" s="1"/>
  <c r="M25" i="3"/>
  <c r="L25" i="3"/>
  <c r="K25" i="3"/>
  <c r="K27" i="3" s="1"/>
  <c r="K28" i="3" s="1"/>
  <c r="F25" i="3"/>
  <c r="F27" i="3" s="1"/>
  <c r="F28" i="3" s="1"/>
  <c r="AH27" i="3" l="1"/>
  <c r="AH28" i="3" s="1"/>
  <c r="R25" i="3"/>
  <c r="R27" i="3" s="1"/>
  <c r="R28" i="3" s="1"/>
  <c r="BA25" i="3"/>
  <c r="BA27" i="3" s="1"/>
  <c r="BA28" i="3" s="1"/>
  <c r="P27" i="3"/>
  <c r="P28" i="3" s="1"/>
  <c r="U25" i="3"/>
  <c r="U27" i="3" s="1"/>
  <c r="U28" i="3" s="1"/>
  <c r="BC25" i="3"/>
  <c r="BC27" i="3" s="1"/>
  <c r="BC28" i="3" s="1"/>
  <c r="V25" i="3"/>
  <c r="V27" i="3" s="1"/>
  <c r="V28" i="3" s="1"/>
  <c r="C25" i="3"/>
  <c r="C27" i="3" s="1"/>
  <c r="C28" i="3" s="1"/>
  <c r="AR25" i="3"/>
  <c r="AR27" i="3" s="1"/>
  <c r="AR28" i="3" s="1"/>
  <c r="X25" i="3"/>
  <c r="X27" i="3" s="1"/>
  <c r="X28" i="3" s="1"/>
  <c r="AS25" i="3"/>
  <c r="AS27" i="3" s="1"/>
  <c r="AS28" i="3" s="1"/>
  <c r="Y25" i="3"/>
  <c r="Y27" i="3" s="1"/>
  <c r="Y28" i="3" s="1"/>
  <c r="AI27" i="3"/>
  <c r="AI28" i="3" s="1"/>
  <c r="M27" i="3"/>
  <c r="M28" i="3" s="1"/>
  <c r="BI25" i="3"/>
  <c r="BI27" i="3" s="1"/>
  <c r="BI28" i="3" s="1"/>
  <c r="H25" i="3"/>
  <c r="H27" i="3" s="1"/>
  <c r="H28" i="3" s="1"/>
  <c r="AC25" i="3"/>
  <c r="AC27" i="3" s="1"/>
  <c r="AC28" i="3" s="1"/>
  <c r="AW25" i="3"/>
  <c r="AW27" i="3" s="1"/>
  <c r="AW28" i="3" s="1"/>
  <c r="AF27" i="3"/>
  <c r="AF28" i="3" s="1"/>
  <c r="BB25" i="3"/>
  <c r="BB27" i="3" s="1"/>
  <c r="BB28" i="3" s="1"/>
  <c r="AP25" i="3"/>
  <c r="AP27" i="3" s="1"/>
  <c r="AP28" i="3" s="1"/>
  <c r="B25" i="3"/>
  <c r="B27" i="3" s="1"/>
  <c r="B28" i="3" s="1"/>
  <c r="AQ25" i="3"/>
  <c r="AQ27" i="3" s="1"/>
  <c r="AQ28" i="3" s="1"/>
  <c r="W25" i="3"/>
  <c r="W27" i="3" s="1"/>
  <c r="W28" i="3" s="1"/>
  <c r="BE25" i="3"/>
  <c r="BE27" i="3" s="1"/>
  <c r="BE28" i="3" s="1"/>
  <c r="Z25" i="3"/>
  <c r="Z27" i="3" s="1"/>
  <c r="Z28" i="3" s="1"/>
  <c r="AA25" i="3"/>
  <c r="AA27" i="3" s="1"/>
  <c r="AA28" i="3" s="1"/>
  <c r="BH25" i="3"/>
  <c r="BH27" i="3" s="1"/>
  <c r="BH28" i="3" s="1"/>
  <c r="AB25" i="3"/>
  <c r="AB27" i="3" s="1"/>
  <c r="AB28" i="3" s="1"/>
  <c r="AD25" i="3"/>
  <c r="AD27" i="3" s="1"/>
  <c r="AD28" i="3" s="1"/>
  <c r="N25" i="3"/>
  <c r="N27" i="3" s="1"/>
  <c r="N28" i="3" s="1"/>
  <c r="S25" i="3"/>
  <c r="S27" i="3" s="1"/>
  <c r="S28" i="3" s="1"/>
  <c r="AG27" i="3"/>
  <c r="AG28" i="3" s="1"/>
  <c r="T25" i="3"/>
  <c r="T27" i="3" s="1"/>
  <c r="T28" i="3" s="1"/>
  <c r="BD25" i="3"/>
  <c r="BD27" i="3" s="1"/>
  <c r="BD28" i="3" s="1"/>
  <c r="D25" i="3"/>
  <c r="D27" i="3" s="1"/>
  <c r="D28" i="3" s="1"/>
  <c r="BF25" i="3"/>
  <c r="BF27" i="3" s="1"/>
  <c r="BF28" i="3" s="1"/>
  <c r="E25" i="3"/>
  <c r="E27" i="3" s="1"/>
  <c r="E28" i="3" s="1"/>
  <c r="AT25" i="3"/>
  <c r="AT27" i="3" s="1"/>
  <c r="AT28" i="3" s="1"/>
  <c r="BG25" i="3"/>
  <c r="BG27" i="3" s="1"/>
  <c r="BG28" i="3" s="1"/>
  <c r="AU25" i="3"/>
  <c r="AU27" i="3" s="1"/>
  <c r="AU28" i="3" s="1"/>
  <c r="Q27" i="3"/>
  <c r="Q28" i="3" s="1"/>
  <c r="G25" i="3"/>
  <c r="G27" i="3" s="1"/>
  <c r="G28" i="3" s="1"/>
  <c r="AV25" i="3"/>
  <c r="AV27" i="3" s="1"/>
  <c r="AV28" i="3" s="1"/>
  <c r="I25" i="3"/>
  <c r="I27" i="3" s="1"/>
  <c r="I28" i="3" s="1"/>
  <c r="J25" i="3"/>
  <c r="J27" i="3" s="1"/>
  <c r="J28" i="3" s="1"/>
  <c r="AE25" i="3"/>
  <c r="AE27" i="3" s="1"/>
  <c r="AE28" i="3" s="1"/>
  <c r="L27" i="3"/>
  <c r="L28" i="3" s="1"/>
  <c r="AL27" i="3"/>
  <c r="AL28" i="3" s="1"/>
  <c r="B5" i="2"/>
  <c r="B12" i="2" s="1"/>
  <c r="C5" i="2"/>
  <c r="C12" i="2" s="1"/>
  <c r="D5" i="2"/>
  <c r="D12" i="2" s="1"/>
  <c r="B8" i="2"/>
  <c r="B11" i="2" s="1"/>
  <c r="C8" i="2"/>
  <c r="C11" i="2" s="1"/>
  <c r="D8" i="2"/>
  <c r="D11" i="2" s="1"/>
  <c r="B17" i="2"/>
  <c r="B24" i="2" s="1"/>
  <c r="C17" i="2"/>
  <c r="C24" i="2" s="1"/>
  <c r="D17" i="2"/>
  <c r="D24" i="2" s="1"/>
  <c r="B20" i="2"/>
  <c r="B23" i="2" s="1"/>
  <c r="C20" i="2"/>
  <c r="C23" i="2" s="1"/>
  <c r="D20" i="2"/>
  <c r="D23" i="2" s="1"/>
  <c r="B29" i="2"/>
  <c r="B36" i="2" s="1"/>
  <c r="C29" i="2"/>
  <c r="C36" i="2" s="1"/>
  <c r="D29" i="2"/>
  <c r="D36" i="2" s="1"/>
  <c r="B32" i="2"/>
  <c r="B35" i="2" s="1"/>
  <c r="C32" i="2"/>
  <c r="C35" i="2" s="1"/>
  <c r="D32" i="2"/>
  <c r="D35" i="2" s="1"/>
  <c r="L24" i="1"/>
  <c r="K24" i="1"/>
  <c r="M23" i="1"/>
  <c r="L23" i="1"/>
  <c r="K23" i="1"/>
  <c r="M24" i="1"/>
  <c r="J20" i="2"/>
  <c r="J23" i="2" s="1"/>
  <c r="I20" i="2"/>
  <c r="I23" i="2" s="1"/>
  <c r="H20" i="2"/>
  <c r="H23" i="2" s="1"/>
  <c r="J17" i="2"/>
  <c r="J24" i="2" s="1"/>
  <c r="I17" i="2"/>
  <c r="I24" i="2" s="1"/>
  <c r="H17" i="2"/>
  <c r="H24" i="2" s="1"/>
  <c r="J8" i="1"/>
  <c r="J11" i="1" s="1"/>
  <c r="I8" i="1"/>
  <c r="I11" i="1" s="1"/>
  <c r="H8" i="1"/>
  <c r="H11" i="1" s="1"/>
  <c r="J5" i="1"/>
  <c r="J12" i="1" s="1"/>
  <c r="I5" i="1"/>
  <c r="I12" i="1" s="1"/>
  <c r="H5" i="1"/>
  <c r="H12" i="1" s="1"/>
  <c r="J8" i="2"/>
  <c r="J11" i="2" s="1"/>
  <c r="I8" i="2"/>
  <c r="I11" i="2" s="1"/>
  <c r="H8" i="2"/>
  <c r="H11" i="2" s="1"/>
  <c r="J5" i="2"/>
  <c r="J12" i="2" s="1"/>
  <c r="I5" i="2"/>
  <c r="I12" i="2" s="1"/>
  <c r="H5" i="2"/>
  <c r="H12" i="2" s="1"/>
  <c r="J20" i="1"/>
  <c r="J23" i="1" s="1"/>
  <c r="I20" i="1"/>
  <c r="I23" i="1" s="1"/>
  <c r="H20" i="1"/>
  <c r="H23" i="1" s="1"/>
  <c r="J17" i="1"/>
  <c r="J24" i="1" s="1"/>
  <c r="I17" i="1"/>
  <c r="I24" i="1" s="1"/>
  <c r="H17" i="1"/>
  <c r="H24" i="1" s="1"/>
  <c r="D20" i="1"/>
  <c r="D23" i="1" s="1"/>
  <c r="C20" i="1"/>
  <c r="C23" i="1" s="1"/>
  <c r="B20" i="1"/>
  <c r="B23" i="1" s="1"/>
  <c r="D17" i="1"/>
  <c r="D24" i="1" s="1"/>
  <c r="C17" i="1"/>
  <c r="C24" i="1" s="1"/>
  <c r="B17" i="1"/>
  <c r="B24" i="1" s="1"/>
  <c r="J32" i="2"/>
  <c r="J35" i="2" s="1"/>
  <c r="I32" i="2"/>
  <c r="I35" i="2" s="1"/>
  <c r="H32" i="2"/>
  <c r="H35" i="2" s="1"/>
  <c r="J29" i="2"/>
  <c r="J36" i="2" s="1"/>
  <c r="I29" i="2"/>
  <c r="I36" i="2" s="1"/>
  <c r="H29" i="2"/>
  <c r="H36" i="2" s="1"/>
  <c r="V20" i="2"/>
  <c r="V23" i="2" s="1"/>
  <c r="U20" i="2"/>
  <c r="U23" i="2" s="1"/>
  <c r="T20" i="2"/>
  <c r="T23" i="2" s="1"/>
  <c r="P20" i="2"/>
  <c r="P23" i="2" s="1"/>
  <c r="O20" i="2"/>
  <c r="O23" i="2" s="1"/>
  <c r="N20" i="2"/>
  <c r="N23" i="2" s="1"/>
  <c r="V17" i="2"/>
  <c r="V24" i="2" s="1"/>
  <c r="U17" i="2"/>
  <c r="U24" i="2" s="1"/>
  <c r="T17" i="2"/>
  <c r="T24" i="2" s="1"/>
  <c r="P17" i="2"/>
  <c r="P24" i="2" s="1"/>
  <c r="O17" i="2"/>
  <c r="O24" i="2" s="1"/>
  <c r="N17" i="2"/>
  <c r="N24" i="2" s="1"/>
  <c r="U12" i="2"/>
  <c r="P12" i="2"/>
  <c r="V8" i="2"/>
  <c r="V11" i="2" s="1"/>
  <c r="U8" i="2"/>
  <c r="U11" i="2" s="1"/>
  <c r="T8" i="2"/>
  <c r="T11" i="2" s="1"/>
  <c r="P8" i="2"/>
  <c r="P11" i="2" s="1"/>
  <c r="O8" i="2"/>
  <c r="O11" i="2" s="1"/>
  <c r="N8" i="2"/>
  <c r="N11" i="2" s="1"/>
  <c r="V5" i="2"/>
  <c r="V12" i="2" s="1"/>
  <c r="U5" i="2"/>
  <c r="T5" i="2"/>
  <c r="T12" i="2" s="1"/>
  <c r="P5" i="2"/>
  <c r="O5" i="2"/>
  <c r="O12" i="2" s="1"/>
  <c r="N5" i="2"/>
  <c r="N12" i="2" s="1"/>
  <c r="J32" i="1"/>
  <c r="J35" i="1" s="1"/>
  <c r="I32" i="1"/>
  <c r="I35" i="1" s="1"/>
  <c r="H32" i="1"/>
  <c r="H35" i="1" s="1"/>
  <c r="D32" i="1"/>
  <c r="D35" i="1" s="1"/>
  <c r="C32" i="1"/>
  <c r="C35" i="1" s="1"/>
  <c r="B32" i="1"/>
  <c r="B35" i="1" s="1"/>
  <c r="J29" i="1"/>
  <c r="J36" i="1" s="1"/>
  <c r="I29" i="1"/>
  <c r="I36" i="1" s="1"/>
  <c r="H29" i="1"/>
  <c r="H36" i="1" s="1"/>
  <c r="D29" i="1"/>
  <c r="D36" i="1" s="1"/>
  <c r="C29" i="1"/>
  <c r="C36" i="1" s="1"/>
  <c r="B29" i="1"/>
  <c r="B36" i="1" s="1"/>
  <c r="V20" i="1"/>
  <c r="V23" i="1" s="1"/>
  <c r="U20" i="1"/>
  <c r="U23" i="1" s="1"/>
  <c r="T20" i="1"/>
  <c r="T23" i="1" s="1"/>
  <c r="P20" i="1"/>
  <c r="P23" i="1" s="1"/>
  <c r="O20" i="1"/>
  <c r="O23" i="1" s="1"/>
  <c r="N20" i="1"/>
  <c r="N23" i="1" s="1"/>
  <c r="V17" i="1"/>
  <c r="V24" i="1" s="1"/>
  <c r="U17" i="1"/>
  <c r="U24" i="1" s="1"/>
  <c r="T17" i="1"/>
  <c r="T24" i="1" s="1"/>
  <c r="P17" i="1"/>
  <c r="P24" i="1" s="1"/>
  <c r="O17" i="1"/>
  <c r="O24" i="1" s="1"/>
  <c r="N17" i="1"/>
  <c r="N24" i="1" s="1"/>
  <c r="V8" i="1"/>
  <c r="V11" i="1" s="1"/>
  <c r="U8" i="1"/>
  <c r="U11" i="1" s="1"/>
  <c r="T8" i="1"/>
  <c r="T11" i="1" s="1"/>
  <c r="P8" i="1"/>
  <c r="P11" i="1" s="1"/>
  <c r="O8" i="1"/>
  <c r="O11" i="1" s="1"/>
  <c r="N8" i="1"/>
  <c r="N11" i="1" s="1"/>
  <c r="D8" i="1"/>
  <c r="D11" i="1" s="1"/>
  <c r="C8" i="1"/>
  <c r="C11" i="1" s="1"/>
  <c r="B8" i="1"/>
  <c r="B11" i="1" s="1"/>
  <c r="V5" i="1"/>
  <c r="V12" i="1" s="1"/>
  <c r="U5" i="1"/>
  <c r="U12" i="1" s="1"/>
  <c r="T5" i="1"/>
  <c r="T12" i="1" s="1"/>
  <c r="P5" i="1"/>
  <c r="P12" i="1" s="1"/>
  <c r="O5" i="1"/>
  <c r="O12" i="1" s="1"/>
  <c r="N5" i="1"/>
  <c r="N12" i="1" s="1"/>
  <c r="D5" i="1"/>
  <c r="D12" i="1" s="1"/>
  <c r="C5" i="1"/>
  <c r="C12" i="1" s="1"/>
  <c r="B5" i="1"/>
  <c r="B12" i="1" s="1"/>
</calcChain>
</file>

<file path=xl/sharedStrings.xml><?xml version="1.0" encoding="utf-8"?>
<sst xmlns="http://schemas.openxmlformats.org/spreadsheetml/2006/main" count="335" uniqueCount="29">
  <si>
    <t>0hr</t>
  </si>
  <si>
    <t>BIGb0170</t>
    <phoneticPr fontId="3" type="noConversion"/>
  </si>
  <si>
    <t>BIGb0172</t>
    <phoneticPr fontId="3" type="noConversion"/>
  </si>
  <si>
    <t>BIGb0393</t>
    <phoneticPr fontId="3" type="noConversion"/>
  </si>
  <si>
    <t>JUb44</t>
    <phoneticPr fontId="3" type="noConversion"/>
  </si>
  <si>
    <t>dilution (pwr)</t>
    <phoneticPr fontId="5" type="noConversion"/>
  </si>
  <si>
    <t>CFU/ml</t>
    <phoneticPr fontId="5" type="noConversion"/>
  </si>
  <si>
    <t>Dilution</t>
  </si>
  <si>
    <t>Average Donor</t>
    <phoneticPr fontId="3" type="noConversion"/>
  </si>
  <si>
    <t>Average Recipient</t>
    <phoneticPr fontId="3" type="noConversion"/>
  </si>
  <si>
    <t>log recipient</t>
    <phoneticPr fontId="3" type="noConversion"/>
  </si>
  <si>
    <t>log donor</t>
    <phoneticPr fontId="3" type="noConversion"/>
  </si>
  <si>
    <t>JUb66</t>
    <phoneticPr fontId="3" type="noConversion"/>
  </si>
  <si>
    <t>JUb134</t>
  </si>
  <si>
    <t>MYb10</t>
  </si>
  <si>
    <t>MYb11</t>
  </si>
  <si>
    <t>MYb71</t>
  </si>
  <si>
    <t>CEN2ent</t>
  </si>
  <si>
    <t>24hr</t>
    <phoneticPr fontId="5" type="noConversion"/>
  </si>
  <si>
    <t>Recipient: CeMbio</t>
    <phoneticPr fontId="5" type="noConversion"/>
  </si>
  <si>
    <t>Initial: Donor/Recipient</t>
    <phoneticPr fontId="5" type="noConversion"/>
  </si>
  <si>
    <t>After: Donor/Recipient</t>
    <phoneticPr fontId="5" type="noConversion"/>
  </si>
  <si>
    <t>log CI</t>
    <phoneticPr fontId="5" type="noConversion"/>
  </si>
  <si>
    <t>Donor competitive index</t>
    <phoneticPr fontId="5" type="noConversion"/>
  </si>
  <si>
    <t>Donor: MSPm1 Recipient: CeMbio</t>
    <phoneticPr fontId="3" type="noConversion"/>
  </si>
  <si>
    <t xml:space="preserve">Donor: MSPm1 </t>
    <phoneticPr fontId="3" type="noConversion"/>
  </si>
  <si>
    <t xml:space="preserve">Donor: MSPm1 </t>
    <phoneticPr fontId="5" type="noConversion"/>
  </si>
  <si>
    <t>JUb66</t>
  </si>
  <si>
    <t>24hr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</si>
</sst>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#,##0.0"/>
    <numFmt numFmtId="178" formatCode="0.0_ "/>
    <numFmt numFmtId="179" formatCode="0.000000_ "/>
  </numFmts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1"/>
      <color rgb="FFFF0000"/>
      <name val="Arial"/>
      <family val="2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>
      <alignment horizontal="center"/>
    </xf>
    <xf numFmtId="20" fontId="1" fillId="2" borderId="0" xfId="0" applyNumberFormat="1" applyFont="1" applyFill="1" applyAlignment="1">
      <alignment horizontal="center"/>
    </xf>
    <xf numFmtId="20" fontId="1" fillId="3" borderId="0" xfId="0" applyNumberFormat="1" applyFont="1" applyFill="1" applyAlignment="1">
      <alignment horizontal="center"/>
    </xf>
    <xf numFmtId="20" fontId="1" fillId="4" borderId="0" xfId="0" applyNumberFormat="1" applyFont="1" applyFill="1" applyAlignment="1">
      <alignment horizontal="center"/>
    </xf>
    <xf numFmtId="20" fontId="1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right"/>
    </xf>
    <xf numFmtId="0" fontId="1" fillId="4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3" fontId="1" fillId="7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center"/>
    </xf>
    <xf numFmtId="11" fontId="1" fillId="0" borderId="0" xfId="0" applyNumberFormat="1" applyFont="1" applyAlignment="1">
      <alignment horizontal="right"/>
    </xf>
    <xf numFmtId="11" fontId="1" fillId="0" borderId="0" xfId="0" applyNumberFormat="1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20" fontId="1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13</xdr:row>
      <xdr:rowOff>0</xdr:rowOff>
    </xdr:from>
    <xdr:to>
      <xdr:col>30</xdr:col>
      <xdr:colOff>304800</xdr:colOff>
      <xdr:row>14</xdr:row>
      <xdr:rowOff>92529</xdr:rowOff>
    </xdr:to>
    <xdr:sp macro="" textlink="">
      <xdr:nvSpPr>
        <xdr:cNvPr id="1025" name="AutoShape 1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298F1BBF-8F81-49C4-AEBF-9BFF902C89C5}"/>
            </a:ext>
          </a:extLst>
        </xdr:cNvPr>
        <xdr:cNvSpPr>
          <a:spLocks noChangeAspect="1" noChangeArrowheads="1"/>
        </xdr:cNvSpPr>
      </xdr:nvSpPr>
      <xdr:spPr bwMode="auto">
        <a:xfrm>
          <a:off x="26076729" y="2759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304800</xdr:colOff>
      <xdr:row>10</xdr:row>
      <xdr:rowOff>92529</xdr:rowOff>
    </xdr:to>
    <xdr:sp macro="" textlink="">
      <xdr:nvSpPr>
        <xdr:cNvPr id="1026" name="AutoShape 2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4AE89266-8245-48B6-95CB-EA7B100DBD27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304800</xdr:colOff>
      <xdr:row>10</xdr:row>
      <xdr:rowOff>92529</xdr:rowOff>
    </xdr:to>
    <xdr:sp macro="" textlink="">
      <xdr:nvSpPr>
        <xdr:cNvPr id="1028" name="AutoShape 4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834FA2BA-1196-4AC8-9D57-9AAFF86AE709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BCDF-69B5-4546-91D9-CC4502D0DDDF}">
  <dimension ref="A1:Y36"/>
  <sheetViews>
    <sheetView zoomScale="96" zoomScaleNormal="52" workbookViewId="0">
      <selection activeCell="B4" sqref="B4"/>
    </sheetView>
  </sheetViews>
  <sheetFormatPr defaultRowHeight="16.5" x14ac:dyDescent="0.25"/>
  <cols>
    <col min="1" max="1" width="17.75" customWidth="1"/>
    <col min="2" max="25" width="12.75" customWidth="1"/>
  </cols>
  <sheetData>
    <row r="1" spans="1:25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x14ac:dyDescent="0.2">
      <c r="A2" s="2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</row>
    <row r="3" spans="1:25" x14ac:dyDescent="0.2">
      <c r="A3" s="7" t="s">
        <v>5</v>
      </c>
      <c r="B3" s="8">
        <v>5</v>
      </c>
      <c r="C3" s="8">
        <v>5</v>
      </c>
      <c r="D3" s="8">
        <v>5</v>
      </c>
      <c r="E3" s="8">
        <v>5</v>
      </c>
      <c r="F3" s="8">
        <v>5</v>
      </c>
      <c r="G3" s="8">
        <v>5</v>
      </c>
      <c r="H3" s="8">
        <v>5</v>
      </c>
      <c r="I3" s="8">
        <v>5</v>
      </c>
      <c r="J3" s="8">
        <v>5</v>
      </c>
      <c r="K3" s="8">
        <v>5</v>
      </c>
      <c r="L3" s="8">
        <v>5</v>
      </c>
      <c r="M3" s="8">
        <v>5</v>
      </c>
      <c r="N3" s="8">
        <v>5</v>
      </c>
      <c r="O3" s="8">
        <v>5</v>
      </c>
      <c r="P3" s="8">
        <v>5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5</v>
      </c>
      <c r="X3" s="8">
        <v>5</v>
      </c>
      <c r="Y3" s="8">
        <v>5</v>
      </c>
    </row>
    <row r="4" spans="1:25" x14ac:dyDescent="0.2">
      <c r="A4" s="7" t="s">
        <v>25</v>
      </c>
      <c r="B4" s="8">
        <v>37</v>
      </c>
      <c r="C4" s="8">
        <v>31</v>
      </c>
      <c r="D4" s="8">
        <v>44</v>
      </c>
      <c r="E4" s="8">
        <v>20</v>
      </c>
      <c r="F4" s="8">
        <v>19</v>
      </c>
      <c r="G4" s="8">
        <v>17</v>
      </c>
      <c r="H4" s="8">
        <v>33</v>
      </c>
      <c r="I4" s="8">
        <v>28</v>
      </c>
      <c r="J4" s="8">
        <v>36</v>
      </c>
      <c r="K4" s="8">
        <v>16</v>
      </c>
      <c r="L4" s="8">
        <v>17</v>
      </c>
      <c r="M4" s="8">
        <v>15</v>
      </c>
      <c r="N4" s="8">
        <v>38</v>
      </c>
      <c r="O4" s="8">
        <v>26</v>
      </c>
      <c r="P4" s="8">
        <v>42</v>
      </c>
      <c r="Q4" s="8">
        <v>13</v>
      </c>
      <c r="R4" s="8">
        <v>20</v>
      </c>
      <c r="S4" s="8">
        <v>15</v>
      </c>
      <c r="T4" s="8">
        <v>44</v>
      </c>
      <c r="U4" s="8">
        <v>24</v>
      </c>
      <c r="V4" s="8">
        <v>31</v>
      </c>
      <c r="W4" s="8">
        <v>11</v>
      </c>
      <c r="X4" s="8">
        <v>19</v>
      </c>
      <c r="Y4" s="8">
        <v>17</v>
      </c>
    </row>
    <row r="5" spans="1:25" x14ac:dyDescent="0.2">
      <c r="A5" s="9" t="s">
        <v>6</v>
      </c>
      <c r="B5" s="10">
        <f>B4*POWER(10,B3)*1000</f>
        <v>3700000000</v>
      </c>
      <c r="C5" s="10">
        <f t="shared" ref="C5:Y5" si="0">C4*POWER(10,C3)*1000</f>
        <v>3100000000</v>
      </c>
      <c r="D5" s="10">
        <f t="shared" si="0"/>
        <v>4400000000</v>
      </c>
      <c r="E5" s="10">
        <f>E4*POWER(10,E3)*1000</f>
        <v>2000000000</v>
      </c>
      <c r="F5" s="10">
        <f t="shared" ref="F5:G5" si="1">F4*POWER(10,F3)*1000</f>
        <v>1900000000</v>
      </c>
      <c r="G5" s="10">
        <f t="shared" si="1"/>
        <v>1700000000</v>
      </c>
      <c r="H5" s="10">
        <f t="shared" ref="H5:M5" si="2">H4*POWER(10,H3)*1000</f>
        <v>3300000000</v>
      </c>
      <c r="I5" s="10">
        <f t="shared" si="2"/>
        <v>2800000000</v>
      </c>
      <c r="J5" s="10">
        <f t="shared" si="2"/>
        <v>3600000000</v>
      </c>
      <c r="K5" s="10">
        <f t="shared" si="2"/>
        <v>1600000000</v>
      </c>
      <c r="L5" s="10">
        <f t="shared" si="2"/>
        <v>1700000000</v>
      </c>
      <c r="M5" s="10">
        <f t="shared" si="2"/>
        <v>1500000000</v>
      </c>
      <c r="N5" s="10">
        <f t="shared" si="0"/>
        <v>3800000000</v>
      </c>
      <c r="O5" s="10">
        <f t="shared" si="0"/>
        <v>2600000000</v>
      </c>
      <c r="P5" s="10">
        <f t="shared" si="0"/>
        <v>4200000000</v>
      </c>
      <c r="Q5" s="10">
        <f t="shared" si="0"/>
        <v>1300000000</v>
      </c>
      <c r="R5" s="10">
        <f t="shared" si="0"/>
        <v>2000000000</v>
      </c>
      <c r="S5" s="10">
        <f t="shared" si="0"/>
        <v>1500000000</v>
      </c>
      <c r="T5" s="10">
        <f t="shared" si="0"/>
        <v>4400000000</v>
      </c>
      <c r="U5" s="10">
        <f t="shared" si="0"/>
        <v>2400000000</v>
      </c>
      <c r="V5" s="10">
        <f t="shared" si="0"/>
        <v>3100000000</v>
      </c>
      <c r="W5" s="10">
        <f t="shared" si="0"/>
        <v>1100000000</v>
      </c>
      <c r="X5" s="10">
        <f t="shared" si="0"/>
        <v>1900000000</v>
      </c>
      <c r="Y5" s="10">
        <f t="shared" si="0"/>
        <v>1700000000</v>
      </c>
    </row>
    <row r="6" spans="1:25" x14ac:dyDescent="0.2">
      <c r="A6" s="11" t="s">
        <v>7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5</v>
      </c>
      <c r="H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P6" s="12">
        <v>5</v>
      </c>
      <c r="Q6" s="12">
        <v>5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  <c r="X6" s="12">
        <v>5</v>
      </c>
      <c r="Y6" s="12">
        <v>5</v>
      </c>
    </row>
    <row r="7" spans="1:25" x14ac:dyDescent="0.2">
      <c r="A7" s="11" t="s">
        <v>19</v>
      </c>
      <c r="B7" s="12">
        <v>51</v>
      </c>
      <c r="C7" s="12">
        <v>54</v>
      </c>
      <c r="D7" s="12">
        <v>51</v>
      </c>
      <c r="E7" s="12">
        <v>57</v>
      </c>
      <c r="F7" s="12">
        <v>65</v>
      </c>
      <c r="G7" s="12">
        <v>66</v>
      </c>
      <c r="H7" s="12">
        <v>14</v>
      </c>
      <c r="I7" s="12">
        <v>15</v>
      </c>
      <c r="J7" s="12">
        <v>16</v>
      </c>
      <c r="K7" s="12">
        <v>12</v>
      </c>
      <c r="L7" s="12">
        <v>16</v>
      </c>
      <c r="M7" s="12">
        <v>13</v>
      </c>
      <c r="N7" s="12">
        <v>55</v>
      </c>
      <c r="O7" s="12">
        <v>60</v>
      </c>
      <c r="P7" s="12">
        <v>63</v>
      </c>
      <c r="Q7" s="12">
        <v>48</v>
      </c>
      <c r="R7" s="12">
        <v>59</v>
      </c>
      <c r="S7" s="12">
        <v>58</v>
      </c>
      <c r="T7" s="12">
        <v>59</v>
      </c>
      <c r="U7" s="12">
        <v>61</v>
      </c>
      <c r="V7" s="12">
        <v>40</v>
      </c>
      <c r="W7" s="12">
        <v>65</v>
      </c>
      <c r="X7" s="12">
        <v>47</v>
      </c>
      <c r="Y7" s="12">
        <v>50</v>
      </c>
    </row>
    <row r="8" spans="1:25" x14ac:dyDescent="0.2">
      <c r="A8" s="11" t="s">
        <v>6</v>
      </c>
      <c r="B8" s="13">
        <f>B7*POWER(10,B6)*1000</f>
        <v>5100000000</v>
      </c>
      <c r="C8" s="13">
        <f t="shared" ref="C8:N8" si="3">C7*POWER(10,C6)*1000</f>
        <v>5400000000</v>
      </c>
      <c r="D8" s="13">
        <f t="shared" si="3"/>
        <v>5100000000</v>
      </c>
      <c r="E8" s="13">
        <f>E7*POWER(10,E6)*1000</f>
        <v>5700000000</v>
      </c>
      <c r="F8" s="13">
        <f t="shared" ref="F8:G8" si="4">F7*POWER(10,F6)*1000</f>
        <v>6500000000</v>
      </c>
      <c r="G8" s="13">
        <f t="shared" si="4"/>
        <v>6600000000</v>
      </c>
      <c r="H8" s="13">
        <f t="shared" ref="H8:M8" si="5">H7*POWER(10,H6)*1000</f>
        <v>1400000000</v>
      </c>
      <c r="I8" s="13">
        <f t="shared" si="5"/>
        <v>1500000000</v>
      </c>
      <c r="J8" s="13">
        <f t="shared" si="5"/>
        <v>1600000000</v>
      </c>
      <c r="K8" s="13">
        <f t="shared" si="5"/>
        <v>1200000000</v>
      </c>
      <c r="L8" s="13">
        <f t="shared" si="5"/>
        <v>1600000000</v>
      </c>
      <c r="M8" s="13">
        <f t="shared" si="5"/>
        <v>1300000000</v>
      </c>
      <c r="N8" s="13">
        <f t="shared" si="3"/>
        <v>5500000000</v>
      </c>
      <c r="O8" s="13">
        <f>O7*POWER(10,O6)*1000</f>
        <v>6000000000</v>
      </c>
      <c r="P8" s="13">
        <f>P7*POWER(10,P6)*1000</f>
        <v>6300000000</v>
      </c>
      <c r="Q8" s="13">
        <f t="shared" ref="Q8" si="6">Q7*POWER(10,Q6)*1000</f>
        <v>4800000000</v>
      </c>
      <c r="R8" s="13">
        <f>R7*POWER(10,R6)*1000</f>
        <v>5900000000</v>
      </c>
      <c r="S8" s="13">
        <f>S7*POWER(10,S6)*1000</f>
        <v>5800000000</v>
      </c>
      <c r="T8" s="13">
        <f>T7*POWER(10,T6)*1000</f>
        <v>5900000000</v>
      </c>
      <c r="U8" s="13">
        <f t="shared" ref="U8:V8" si="7">U7*POWER(10,U6)*1000</f>
        <v>6100000000</v>
      </c>
      <c r="V8" s="13">
        <f t="shared" si="7"/>
        <v>4000000000</v>
      </c>
      <c r="W8" s="13">
        <f>W7*POWER(10,W6)*1000</f>
        <v>6500000000</v>
      </c>
      <c r="X8" s="13">
        <f t="shared" ref="X8:Y8" si="8">X7*POWER(10,X6)*1000</f>
        <v>4700000000</v>
      </c>
      <c r="Y8" s="13">
        <f t="shared" si="8"/>
        <v>5000000000</v>
      </c>
    </row>
    <row r="9" spans="1:25" x14ac:dyDescent="0.2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14" t="s">
        <v>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2">
      <c r="A11" s="17" t="s">
        <v>10</v>
      </c>
      <c r="B11" s="18">
        <f>LOG(B8)</f>
        <v>9.7075701760979367</v>
      </c>
      <c r="C11" s="18">
        <f t="shared" ref="C11:S11" si="9">LOG(C8)</f>
        <v>9.7323937598229691</v>
      </c>
      <c r="D11" s="18">
        <f t="shared" si="9"/>
        <v>9.7075701760979367</v>
      </c>
      <c r="E11" s="18">
        <f>LOG(E8)</f>
        <v>9.7558748556724915</v>
      </c>
      <c r="F11" s="18">
        <f t="shared" ref="F11:G11" si="10">LOG(F8)</f>
        <v>9.8129133566428557</v>
      </c>
      <c r="G11" s="18">
        <f t="shared" si="10"/>
        <v>9.8195439355418692</v>
      </c>
      <c r="H11" s="18">
        <f t="shared" ref="H11:M11" si="11">LOG(H8)</f>
        <v>9.1461280356782382</v>
      </c>
      <c r="I11" s="18">
        <f t="shared" si="11"/>
        <v>9.1760912590556813</v>
      </c>
      <c r="J11" s="18">
        <f t="shared" si="11"/>
        <v>9.204119982655925</v>
      </c>
      <c r="K11" s="18">
        <f t="shared" si="11"/>
        <v>9.0791812460476251</v>
      </c>
      <c r="L11" s="18">
        <f t="shared" si="11"/>
        <v>9.204119982655925</v>
      </c>
      <c r="M11" s="18">
        <f t="shared" si="11"/>
        <v>9.1139433523068369</v>
      </c>
      <c r="N11" s="18">
        <f t="shared" si="9"/>
        <v>9.7403626894942441</v>
      </c>
      <c r="O11" s="18">
        <f t="shared" si="9"/>
        <v>9.7781512503836439</v>
      </c>
      <c r="P11" s="18">
        <f t="shared" si="9"/>
        <v>9.7993405494535821</v>
      </c>
      <c r="Q11" s="18">
        <f t="shared" si="9"/>
        <v>9.6812412373755876</v>
      </c>
      <c r="R11" s="18">
        <f t="shared" si="9"/>
        <v>9.7708520116421447</v>
      </c>
      <c r="S11" s="18">
        <f t="shared" si="9"/>
        <v>9.7634279935629369</v>
      </c>
      <c r="T11" s="18">
        <f t="shared" ref="T11:Y11" si="12">LOG(T8)</f>
        <v>9.7708520116421447</v>
      </c>
      <c r="U11" s="18">
        <f t="shared" si="12"/>
        <v>9.7853298350107671</v>
      </c>
      <c r="V11" s="18">
        <f t="shared" si="12"/>
        <v>9.6020599913279625</v>
      </c>
      <c r="W11" s="18">
        <f t="shared" si="12"/>
        <v>9.8129133566428557</v>
      </c>
      <c r="X11" s="18">
        <f t="shared" si="12"/>
        <v>9.672097857935718</v>
      </c>
      <c r="Y11" s="18">
        <f t="shared" si="12"/>
        <v>9.6989700043360187</v>
      </c>
    </row>
    <row r="12" spans="1:25" x14ac:dyDescent="0.2">
      <c r="A12" s="17" t="s">
        <v>11</v>
      </c>
      <c r="B12" s="19">
        <f>LOG(B5)</f>
        <v>9.568201724066995</v>
      </c>
      <c r="C12" s="19">
        <f t="shared" ref="C12:Y12" si="13">LOG(C5)</f>
        <v>9.4913616938342731</v>
      </c>
      <c r="D12" s="19">
        <f t="shared" si="13"/>
        <v>9.6434526764861879</v>
      </c>
      <c r="E12" s="19">
        <f>LOG(E5)</f>
        <v>9.3010299956639813</v>
      </c>
      <c r="F12" s="19">
        <f t="shared" ref="F12:G12" si="14">LOG(F5)</f>
        <v>9.2787536009528289</v>
      </c>
      <c r="G12" s="19">
        <f t="shared" si="14"/>
        <v>9.2304489213782741</v>
      </c>
      <c r="H12" s="19">
        <f t="shared" ref="H12:M12" si="15">LOG(H5)</f>
        <v>9.518513939877888</v>
      </c>
      <c r="I12" s="19">
        <f t="shared" si="15"/>
        <v>9.4471580313422194</v>
      </c>
      <c r="J12" s="19">
        <f t="shared" si="15"/>
        <v>9.5563025007672877</v>
      </c>
      <c r="K12" s="19">
        <f t="shared" si="15"/>
        <v>9.204119982655925</v>
      </c>
      <c r="L12" s="19">
        <f t="shared" si="15"/>
        <v>9.2304489213782741</v>
      </c>
      <c r="M12" s="19">
        <f t="shared" si="15"/>
        <v>9.1760912590556813</v>
      </c>
      <c r="N12" s="19">
        <f t="shared" si="13"/>
        <v>9.5797835966168101</v>
      </c>
      <c r="O12" s="19">
        <f t="shared" si="13"/>
        <v>9.4149733479708182</v>
      </c>
      <c r="P12" s="19">
        <f t="shared" si="13"/>
        <v>9.6232492903979008</v>
      </c>
      <c r="Q12" s="19">
        <f t="shared" si="13"/>
        <v>9.1139433523068369</v>
      </c>
      <c r="R12" s="19">
        <f t="shared" si="13"/>
        <v>9.3010299956639813</v>
      </c>
      <c r="S12" s="19">
        <f t="shared" si="13"/>
        <v>9.1760912590556813</v>
      </c>
      <c r="T12" s="19">
        <f t="shared" si="13"/>
        <v>9.6434526764861879</v>
      </c>
      <c r="U12" s="19">
        <f t="shared" si="13"/>
        <v>9.3802112417116064</v>
      </c>
      <c r="V12" s="19">
        <f t="shared" si="13"/>
        <v>9.4913616938342731</v>
      </c>
      <c r="W12" s="19">
        <f t="shared" si="13"/>
        <v>9.0413926851582254</v>
      </c>
      <c r="X12" s="19">
        <f t="shared" si="13"/>
        <v>9.2787536009528289</v>
      </c>
      <c r="Y12" s="19">
        <f t="shared" si="13"/>
        <v>9.2304489213782741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2" t="s">
        <v>0</v>
      </c>
      <c r="B14" s="3" t="s">
        <v>27</v>
      </c>
      <c r="C14" s="3" t="s">
        <v>27</v>
      </c>
      <c r="D14" s="3" t="s">
        <v>27</v>
      </c>
      <c r="E14" s="3" t="s">
        <v>27</v>
      </c>
      <c r="F14" s="3" t="s">
        <v>27</v>
      </c>
      <c r="G14" s="3" t="s">
        <v>27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  <c r="N14" s="5" t="s">
        <v>14</v>
      </c>
      <c r="O14" s="5" t="s">
        <v>14</v>
      </c>
      <c r="P14" s="5" t="s">
        <v>14</v>
      </c>
      <c r="Q14" s="5" t="s">
        <v>14</v>
      </c>
      <c r="R14" s="5" t="s">
        <v>14</v>
      </c>
      <c r="S14" s="5" t="s">
        <v>14</v>
      </c>
      <c r="T14" s="6" t="s">
        <v>15</v>
      </c>
      <c r="U14" s="6" t="s">
        <v>15</v>
      </c>
      <c r="V14" s="6" t="s">
        <v>15</v>
      </c>
      <c r="W14" s="6" t="s">
        <v>15</v>
      </c>
      <c r="X14" s="6" t="s">
        <v>15</v>
      </c>
      <c r="Y14" s="6" t="s">
        <v>15</v>
      </c>
    </row>
    <row r="15" spans="1:25" x14ac:dyDescent="0.2">
      <c r="A15" s="7" t="s">
        <v>5</v>
      </c>
      <c r="B15" s="8">
        <v>5</v>
      </c>
      <c r="C15" s="8">
        <v>5</v>
      </c>
      <c r="D15" s="8">
        <v>5</v>
      </c>
      <c r="E15" s="8">
        <v>5</v>
      </c>
      <c r="F15" s="8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8">
        <v>5</v>
      </c>
      <c r="O15" s="8">
        <v>5</v>
      </c>
      <c r="P15" s="8">
        <v>5</v>
      </c>
      <c r="Q15" s="8">
        <v>5</v>
      </c>
      <c r="R15" s="8">
        <v>5</v>
      </c>
      <c r="S15" s="8">
        <v>5</v>
      </c>
      <c r="T15" s="8">
        <v>5</v>
      </c>
      <c r="U15" s="8">
        <v>5</v>
      </c>
      <c r="V15" s="8">
        <v>5</v>
      </c>
      <c r="W15" s="8">
        <v>5</v>
      </c>
      <c r="X15" s="8">
        <v>5</v>
      </c>
      <c r="Y15" s="8">
        <v>5</v>
      </c>
    </row>
    <row r="16" spans="1:25" x14ac:dyDescent="0.2">
      <c r="A16" s="7" t="s">
        <v>25</v>
      </c>
      <c r="B16" s="8">
        <v>31</v>
      </c>
      <c r="C16" s="8">
        <v>22</v>
      </c>
      <c r="D16" s="8">
        <v>25</v>
      </c>
      <c r="E16" s="8">
        <v>24</v>
      </c>
      <c r="F16" s="8">
        <v>35</v>
      </c>
      <c r="G16" s="8">
        <v>23</v>
      </c>
      <c r="H16" s="8">
        <v>33</v>
      </c>
      <c r="I16" s="8">
        <v>44</v>
      </c>
      <c r="J16" s="8">
        <v>31</v>
      </c>
      <c r="K16" s="8">
        <v>48</v>
      </c>
      <c r="L16" s="8">
        <v>24</v>
      </c>
      <c r="M16" s="8">
        <v>31</v>
      </c>
      <c r="N16" s="8">
        <v>27</v>
      </c>
      <c r="O16" s="8">
        <v>30</v>
      </c>
      <c r="P16" s="8">
        <v>27</v>
      </c>
      <c r="Q16" s="8">
        <v>23</v>
      </c>
      <c r="R16" s="8">
        <v>24</v>
      </c>
      <c r="S16" s="8">
        <v>29</v>
      </c>
      <c r="T16" s="8">
        <v>32</v>
      </c>
      <c r="U16" s="8">
        <v>34</v>
      </c>
      <c r="V16" s="8">
        <v>24</v>
      </c>
      <c r="W16" s="8">
        <v>22</v>
      </c>
      <c r="X16" s="8">
        <v>34</v>
      </c>
      <c r="Y16" s="8">
        <v>24</v>
      </c>
    </row>
    <row r="17" spans="1:25" x14ac:dyDescent="0.2">
      <c r="A17" s="9" t="s">
        <v>6</v>
      </c>
      <c r="B17" s="10">
        <f>B16*POWER(10,B15)*1000</f>
        <v>3100000000</v>
      </c>
      <c r="C17" s="10">
        <f t="shared" ref="C17:D17" si="16">C16*POWER(10,C15)*1000</f>
        <v>2200000000</v>
      </c>
      <c r="D17" s="10">
        <f t="shared" si="16"/>
        <v>2500000000</v>
      </c>
      <c r="E17" s="10">
        <f>E16*POWER(10,E15)*1000</f>
        <v>2400000000</v>
      </c>
      <c r="F17" s="10">
        <f t="shared" ref="F17:G17" si="17">F16*POWER(10,F15)*1000</f>
        <v>3500000000</v>
      </c>
      <c r="G17" s="10">
        <f t="shared" si="17"/>
        <v>2300000000</v>
      </c>
      <c r="H17" s="10">
        <f>H16*POWER(10,H15)*1000</f>
        <v>3300000000</v>
      </c>
      <c r="I17" s="10">
        <f>I16*POWER(10,I15)*1000</f>
        <v>4400000000</v>
      </c>
      <c r="J17" s="10">
        <f>J16*POWER(10,J15)*1000</f>
        <v>3100000000</v>
      </c>
      <c r="K17" s="10">
        <f t="shared" ref="K17:M17" si="18">K16*POWER(10,K15)*1000</f>
        <v>4800000000</v>
      </c>
      <c r="L17" s="10">
        <f t="shared" si="18"/>
        <v>2400000000</v>
      </c>
      <c r="M17" s="10">
        <f t="shared" si="18"/>
        <v>3100000000</v>
      </c>
      <c r="N17" s="10">
        <f t="shared" ref="N17:Y17" si="19">N16*POWER(10,N15)*1000</f>
        <v>2700000000</v>
      </c>
      <c r="O17" s="10">
        <f t="shared" si="19"/>
        <v>3000000000</v>
      </c>
      <c r="P17" s="10">
        <f t="shared" si="19"/>
        <v>2700000000</v>
      </c>
      <c r="Q17" s="10">
        <f t="shared" si="19"/>
        <v>2300000000</v>
      </c>
      <c r="R17" s="10">
        <f t="shared" si="19"/>
        <v>2400000000</v>
      </c>
      <c r="S17" s="10">
        <f t="shared" si="19"/>
        <v>2900000000</v>
      </c>
      <c r="T17" s="10">
        <f t="shared" si="19"/>
        <v>3200000000</v>
      </c>
      <c r="U17" s="10">
        <f t="shared" si="19"/>
        <v>3400000000</v>
      </c>
      <c r="V17" s="10">
        <f t="shared" si="19"/>
        <v>2400000000</v>
      </c>
      <c r="W17" s="10">
        <f t="shared" si="19"/>
        <v>2200000000</v>
      </c>
      <c r="X17" s="10">
        <f t="shared" si="19"/>
        <v>3400000000</v>
      </c>
      <c r="Y17" s="10">
        <f t="shared" si="19"/>
        <v>2400000000</v>
      </c>
    </row>
    <row r="18" spans="1:25" x14ac:dyDescent="0.2">
      <c r="A18" s="11" t="s">
        <v>7</v>
      </c>
      <c r="B18" s="12">
        <v>5</v>
      </c>
      <c r="C18" s="12">
        <v>5</v>
      </c>
      <c r="D18" s="12">
        <v>5</v>
      </c>
      <c r="E18" s="12">
        <v>5</v>
      </c>
      <c r="F18" s="12">
        <v>5</v>
      </c>
      <c r="G18" s="12">
        <v>5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5</v>
      </c>
      <c r="N18" s="12">
        <v>5</v>
      </c>
      <c r="O18" s="12">
        <v>5</v>
      </c>
      <c r="P18" s="12">
        <v>5</v>
      </c>
      <c r="Q18" s="12">
        <v>5</v>
      </c>
      <c r="R18" s="12">
        <v>5</v>
      </c>
      <c r="S18" s="12">
        <v>5</v>
      </c>
      <c r="T18" s="12">
        <v>5</v>
      </c>
      <c r="U18" s="12">
        <v>5</v>
      </c>
      <c r="V18" s="12">
        <v>5</v>
      </c>
      <c r="W18" s="12">
        <v>5</v>
      </c>
      <c r="X18" s="12">
        <v>5</v>
      </c>
      <c r="Y18" s="12">
        <v>5</v>
      </c>
    </row>
    <row r="19" spans="1:25" x14ac:dyDescent="0.2">
      <c r="A19" s="11" t="s">
        <v>19</v>
      </c>
      <c r="B19" s="12">
        <v>94</v>
      </c>
      <c r="C19" s="12">
        <v>100</v>
      </c>
      <c r="D19" s="12">
        <v>82</v>
      </c>
      <c r="E19" s="12">
        <v>86</v>
      </c>
      <c r="F19" s="12">
        <v>94</v>
      </c>
      <c r="G19" s="12">
        <v>90</v>
      </c>
      <c r="H19" s="12">
        <v>21</v>
      </c>
      <c r="I19" s="12">
        <v>17</v>
      </c>
      <c r="J19" s="12">
        <v>22</v>
      </c>
      <c r="K19" s="12">
        <v>15</v>
      </c>
      <c r="L19" s="12">
        <v>18</v>
      </c>
      <c r="M19" s="12">
        <v>7</v>
      </c>
      <c r="N19" s="12">
        <v>28</v>
      </c>
      <c r="O19" s="12">
        <v>30</v>
      </c>
      <c r="P19" s="12">
        <v>26</v>
      </c>
      <c r="Q19" s="12">
        <v>31</v>
      </c>
      <c r="R19" s="12">
        <v>20</v>
      </c>
      <c r="S19" s="12">
        <v>31</v>
      </c>
      <c r="T19" s="12">
        <v>32</v>
      </c>
      <c r="U19" s="12">
        <v>38</v>
      </c>
      <c r="V19" s="12">
        <v>50</v>
      </c>
      <c r="W19" s="12">
        <v>33</v>
      </c>
      <c r="X19" s="12">
        <v>41</v>
      </c>
      <c r="Y19" s="12">
        <v>35</v>
      </c>
    </row>
    <row r="20" spans="1:25" x14ac:dyDescent="0.2">
      <c r="A20" s="11" t="s">
        <v>6</v>
      </c>
      <c r="B20" s="13">
        <f>B19*POWER(10,B18)*1000</f>
        <v>9400000000</v>
      </c>
      <c r="C20" s="13">
        <f t="shared" ref="C20:D20" si="20">C19*POWER(10,C18)*1000</f>
        <v>10000000000</v>
      </c>
      <c r="D20" s="13">
        <f t="shared" si="20"/>
        <v>8200000000</v>
      </c>
      <c r="E20" s="13">
        <f>E19*POWER(10,E18)*1000</f>
        <v>8600000000</v>
      </c>
      <c r="F20" s="13">
        <f t="shared" ref="F20:G20" si="21">F19*POWER(10,F18)*1000</f>
        <v>9400000000</v>
      </c>
      <c r="G20" s="13">
        <f t="shared" si="21"/>
        <v>9000000000</v>
      </c>
      <c r="H20" s="13">
        <f>H19*POWER(10,H18)*1000</f>
        <v>2100000000</v>
      </c>
      <c r="I20" s="13">
        <f>I19*POWER(10,I18)*1000</f>
        <v>1700000000</v>
      </c>
      <c r="J20" s="13">
        <f>J19*POWER(10,J18)*1000</f>
        <v>2200000000</v>
      </c>
      <c r="K20" s="13">
        <f t="shared" ref="K20:M20" si="22">K19*POWER(10,K18)*1000</f>
        <v>1500000000</v>
      </c>
      <c r="L20" s="13">
        <f t="shared" si="22"/>
        <v>1800000000</v>
      </c>
      <c r="M20" s="13">
        <f t="shared" si="22"/>
        <v>700000000</v>
      </c>
      <c r="N20" s="13">
        <f t="shared" ref="N20" si="23">N19*POWER(10,N18)*1000</f>
        <v>2800000000</v>
      </c>
      <c r="O20" s="13">
        <f>O19*POWER(10,O18)*1000</f>
        <v>3000000000</v>
      </c>
      <c r="P20" s="13">
        <f>P19*POWER(10,P18)*1000</f>
        <v>2600000000</v>
      </c>
      <c r="Q20" s="13">
        <f t="shared" ref="Q20" si="24">Q19*POWER(10,Q18)*1000</f>
        <v>3100000000</v>
      </c>
      <c r="R20" s="13">
        <f>R19*POWER(10,R18)*1000</f>
        <v>2000000000</v>
      </c>
      <c r="S20" s="13">
        <f>S19*POWER(10,S18)*1000</f>
        <v>3100000000</v>
      </c>
      <c r="T20" s="13">
        <f>T19*POWER(10,T18)*1000</f>
        <v>3200000000</v>
      </c>
      <c r="U20" s="13">
        <f t="shared" ref="U20:V20" si="25">U19*POWER(10,U18)*1000</f>
        <v>3800000000</v>
      </c>
      <c r="V20" s="13">
        <f t="shared" si="25"/>
        <v>5000000000</v>
      </c>
      <c r="W20" s="13">
        <f>W19*POWER(10,W18)*1000</f>
        <v>3300000000</v>
      </c>
      <c r="X20" s="13">
        <f t="shared" ref="X20:Y20" si="26">X19*POWER(10,X18)*1000</f>
        <v>4100000000</v>
      </c>
      <c r="Y20" s="13">
        <f t="shared" si="26"/>
        <v>3500000000</v>
      </c>
    </row>
    <row r="21" spans="1:25" x14ac:dyDescent="0.2">
      <c r="A21" s="14" t="s">
        <v>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14" t="s">
        <v>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17" t="s">
        <v>10</v>
      </c>
      <c r="B23" s="18">
        <f>LOG(B20)</f>
        <v>9.9731278535996992</v>
      </c>
      <c r="C23" s="18">
        <f t="shared" ref="C23:D23" si="27">LOG(C20)</f>
        <v>10</v>
      </c>
      <c r="D23" s="18">
        <f t="shared" si="27"/>
        <v>9.9138138523837167</v>
      </c>
      <c r="E23" s="18">
        <f>LOG(E20)</f>
        <v>9.9344984512435683</v>
      </c>
      <c r="F23" s="18">
        <f t="shared" ref="F23:G23" si="28">LOG(F20)</f>
        <v>9.9731278535996992</v>
      </c>
      <c r="G23" s="18">
        <f t="shared" si="28"/>
        <v>9.9542425094393252</v>
      </c>
      <c r="H23" s="18">
        <f>LOG(H20)</f>
        <v>9.3222192947339195</v>
      </c>
      <c r="I23" s="18">
        <f>LOG(I20)</f>
        <v>9.2304489213782741</v>
      </c>
      <c r="J23" s="18">
        <f>LOG(J20)</f>
        <v>9.3424226808222066</v>
      </c>
      <c r="K23" s="18">
        <f t="shared" ref="K23:M23" si="29">LOG(K20)</f>
        <v>9.1760912590556813</v>
      </c>
      <c r="L23" s="18">
        <f t="shared" si="29"/>
        <v>9.2552725051033065</v>
      </c>
      <c r="M23" s="18">
        <f t="shared" si="29"/>
        <v>8.8450980400142569</v>
      </c>
      <c r="N23" s="18">
        <f t="shared" ref="N23:S23" si="30">LOG(N20)</f>
        <v>9.4471580313422194</v>
      </c>
      <c r="O23" s="18">
        <f t="shared" si="30"/>
        <v>9.4771212547196626</v>
      </c>
      <c r="P23" s="18">
        <f t="shared" si="30"/>
        <v>9.4149733479708182</v>
      </c>
      <c r="Q23" s="18">
        <f t="shared" si="30"/>
        <v>9.4913616938342731</v>
      </c>
      <c r="R23" s="18">
        <f t="shared" si="30"/>
        <v>9.3010299956639813</v>
      </c>
      <c r="S23" s="18">
        <f t="shared" si="30"/>
        <v>9.4913616938342731</v>
      </c>
      <c r="T23" s="18">
        <f t="shared" ref="T23:Y23" si="31">LOG(T20)</f>
        <v>9.5051499783199063</v>
      </c>
      <c r="U23" s="18">
        <f t="shared" si="31"/>
        <v>9.5797835966168101</v>
      </c>
      <c r="V23" s="18">
        <f t="shared" si="31"/>
        <v>9.6989700043360187</v>
      </c>
      <c r="W23" s="18">
        <f t="shared" si="31"/>
        <v>9.518513939877888</v>
      </c>
      <c r="X23" s="18">
        <f t="shared" si="31"/>
        <v>9.6127838567197355</v>
      </c>
      <c r="Y23" s="18">
        <f t="shared" si="31"/>
        <v>9.5440680443502757</v>
      </c>
    </row>
    <row r="24" spans="1:25" x14ac:dyDescent="0.2">
      <c r="A24" s="17" t="s">
        <v>11</v>
      </c>
      <c r="B24" s="19">
        <f>LOG(B17)</f>
        <v>9.4913616938342731</v>
      </c>
      <c r="C24" s="19">
        <f t="shared" ref="C24:D24" si="32">LOG(C17)</f>
        <v>9.3424226808222066</v>
      </c>
      <c r="D24" s="19">
        <f t="shared" si="32"/>
        <v>9.3979400086720375</v>
      </c>
      <c r="E24" s="19">
        <f>LOG(E17)</f>
        <v>9.3802112417116064</v>
      </c>
      <c r="F24" s="19">
        <f t="shared" ref="F24:G24" si="33">LOG(F17)</f>
        <v>9.5440680443502757</v>
      </c>
      <c r="G24" s="19">
        <f t="shared" si="33"/>
        <v>9.3617278360175931</v>
      </c>
      <c r="H24" s="19">
        <f>LOG(H17)</f>
        <v>9.518513939877888</v>
      </c>
      <c r="I24" s="19">
        <f>LOG(I17)</f>
        <v>9.6434526764861879</v>
      </c>
      <c r="J24" s="19">
        <f>LOG(J17)</f>
        <v>9.4913616938342731</v>
      </c>
      <c r="K24" s="19">
        <f t="shared" ref="K24:M24" si="34">LOG(K17)</f>
        <v>9.6812412373755876</v>
      </c>
      <c r="L24" s="19">
        <f t="shared" si="34"/>
        <v>9.3802112417116064</v>
      </c>
      <c r="M24" s="19">
        <f t="shared" si="34"/>
        <v>9.4913616938342731</v>
      </c>
      <c r="N24" s="19">
        <f t="shared" ref="N24:Y24" si="35">LOG(N17)</f>
        <v>9.4313637641589878</v>
      </c>
      <c r="O24" s="19">
        <f t="shared" si="35"/>
        <v>9.4771212547196626</v>
      </c>
      <c r="P24" s="19">
        <f t="shared" si="35"/>
        <v>9.4313637641589878</v>
      </c>
      <c r="Q24" s="19">
        <f t="shared" si="35"/>
        <v>9.3617278360175931</v>
      </c>
      <c r="R24" s="19">
        <f t="shared" si="35"/>
        <v>9.3802112417116064</v>
      </c>
      <c r="S24" s="19">
        <f t="shared" si="35"/>
        <v>9.4623979978989556</v>
      </c>
      <c r="T24" s="19">
        <f t="shared" si="35"/>
        <v>9.5051499783199063</v>
      </c>
      <c r="U24" s="19">
        <f t="shared" si="35"/>
        <v>9.5314789170422554</v>
      </c>
      <c r="V24" s="19">
        <f t="shared" si="35"/>
        <v>9.3802112417116064</v>
      </c>
      <c r="W24" s="19">
        <f t="shared" si="35"/>
        <v>9.3424226808222066</v>
      </c>
      <c r="X24" s="19">
        <f t="shared" si="35"/>
        <v>9.5314789170422554</v>
      </c>
      <c r="Y24" s="19">
        <f t="shared" si="35"/>
        <v>9.3802112417116064</v>
      </c>
    </row>
    <row r="25" spans="1:25" x14ac:dyDescent="0.2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">
      <c r="A26" s="2" t="s">
        <v>0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4" t="s">
        <v>17</v>
      </c>
      <c r="I26" s="4" t="s">
        <v>17</v>
      </c>
      <c r="J26" s="4" t="s">
        <v>17</v>
      </c>
      <c r="K26" s="4" t="s">
        <v>17</v>
      </c>
      <c r="L26" s="4" t="s">
        <v>17</v>
      </c>
      <c r="M26" s="4" t="s">
        <v>17</v>
      </c>
      <c r="N26" s="25"/>
      <c r="O26" s="25"/>
      <c r="P26" s="25"/>
      <c r="Q26" s="25"/>
      <c r="R26" s="25"/>
      <c r="S26" s="25"/>
      <c r="T26" s="22"/>
      <c r="U26" s="22"/>
      <c r="V26" s="22"/>
      <c r="W26" s="22"/>
      <c r="X26" s="22"/>
      <c r="Y26" s="22"/>
    </row>
    <row r="27" spans="1:25" x14ac:dyDescent="0.2">
      <c r="A27" s="7" t="s">
        <v>5</v>
      </c>
      <c r="B27" s="8">
        <v>5</v>
      </c>
      <c r="C27" s="8">
        <v>5</v>
      </c>
      <c r="D27" s="8">
        <v>5</v>
      </c>
      <c r="E27" s="8">
        <v>5</v>
      </c>
      <c r="F27" s="8">
        <v>5</v>
      </c>
      <c r="G27" s="8">
        <v>5</v>
      </c>
      <c r="H27" s="8">
        <v>5</v>
      </c>
      <c r="I27" s="8">
        <v>5</v>
      </c>
      <c r="J27" s="8">
        <v>5</v>
      </c>
      <c r="K27" s="8">
        <v>5</v>
      </c>
      <c r="L27" s="8">
        <v>5</v>
      </c>
      <c r="M27" s="8">
        <v>5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x14ac:dyDescent="0.2">
      <c r="A28" s="7" t="s">
        <v>25</v>
      </c>
      <c r="B28" s="8">
        <v>41</v>
      </c>
      <c r="C28" s="8">
        <v>35</v>
      </c>
      <c r="D28" s="8">
        <v>35</v>
      </c>
      <c r="E28" s="8">
        <v>30</v>
      </c>
      <c r="F28" s="8">
        <v>27</v>
      </c>
      <c r="G28" s="8">
        <v>33</v>
      </c>
      <c r="H28" s="8">
        <v>32</v>
      </c>
      <c r="I28" s="8">
        <v>24</v>
      </c>
      <c r="J28" s="8">
        <v>29</v>
      </c>
      <c r="K28" s="8">
        <v>15</v>
      </c>
      <c r="L28" s="8">
        <v>23</v>
      </c>
      <c r="M28" s="8">
        <v>26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x14ac:dyDescent="0.2">
      <c r="A29" s="9" t="s">
        <v>6</v>
      </c>
      <c r="B29" s="10">
        <f>B28*POWER(10,B27)*1000</f>
        <v>4100000000</v>
      </c>
      <c r="C29" s="10">
        <f t="shared" ref="C29:M29" si="36">C28*POWER(10,C27)*1000</f>
        <v>3500000000</v>
      </c>
      <c r="D29" s="10">
        <f t="shared" si="36"/>
        <v>3500000000</v>
      </c>
      <c r="E29" s="10">
        <f>E28*POWER(10,E27)*1000</f>
        <v>3000000000</v>
      </c>
      <c r="F29" s="10">
        <f t="shared" ref="F29:G29" si="37">F28*POWER(10,F27)*1000</f>
        <v>2700000000</v>
      </c>
      <c r="G29" s="10">
        <f t="shared" si="37"/>
        <v>3300000000</v>
      </c>
      <c r="H29" s="10">
        <f t="shared" si="36"/>
        <v>3200000000</v>
      </c>
      <c r="I29" s="10">
        <f t="shared" si="36"/>
        <v>2400000000</v>
      </c>
      <c r="J29" s="10">
        <f t="shared" si="36"/>
        <v>2900000000</v>
      </c>
      <c r="K29" s="10">
        <f t="shared" si="36"/>
        <v>1500000000</v>
      </c>
      <c r="L29" s="10">
        <f t="shared" si="36"/>
        <v>2300000000</v>
      </c>
      <c r="M29" s="10">
        <f t="shared" si="36"/>
        <v>2600000000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x14ac:dyDescent="0.2">
      <c r="A30" s="11" t="s">
        <v>7</v>
      </c>
      <c r="B30" s="12">
        <v>5</v>
      </c>
      <c r="C30" s="12">
        <v>5</v>
      </c>
      <c r="D30" s="12">
        <v>5</v>
      </c>
      <c r="E30" s="12">
        <v>5</v>
      </c>
      <c r="F30" s="12">
        <v>5</v>
      </c>
      <c r="G30" s="12">
        <v>5</v>
      </c>
      <c r="H30" s="12">
        <v>5</v>
      </c>
      <c r="I30" s="12">
        <v>5</v>
      </c>
      <c r="J30" s="12">
        <v>5</v>
      </c>
      <c r="K30" s="12">
        <v>5</v>
      </c>
      <c r="L30" s="12">
        <v>5</v>
      </c>
      <c r="M30" s="12">
        <v>5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x14ac:dyDescent="0.2">
      <c r="A31" s="11" t="s">
        <v>19</v>
      </c>
      <c r="B31" s="12">
        <v>74</v>
      </c>
      <c r="C31" s="12">
        <v>48</v>
      </c>
      <c r="D31" s="12">
        <v>39</v>
      </c>
      <c r="E31" s="12">
        <v>49</v>
      </c>
      <c r="F31" s="12">
        <v>53</v>
      </c>
      <c r="G31" s="12">
        <v>52</v>
      </c>
      <c r="H31" s="12">
        <v>38</v>
      </c>
      <c r="I31" s="12">
        <v>41</v>
      </c>
      <c r="J31" s="12">
        <v>37</v>
      </c>
      <c r="K31" s="12">
        <v>40</v>
      </c>
      <c r="L31" s="12">
        <v>46</v>
      </c>
      <c r="M31" s="12">
        <v>52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x14ac:dyDescent="0.2">
      <c r="A32" s="11" t="s">
        <v>6</v>
      </c>
      <c r="B32" s="13">
        <f>B31*POWER(10,B30)*1000</f>
        <v>7400000000</v>
      </c>
      <c r="C32" s="13">
        <f t="shared" ref="C32:M32" si="38">C31*POWER(10,C30)*1000</f>
        <v>4800000000</v>
      </c>
      <c r="D32" s="13">
        <f t="shared" si="38"/>
        <v>3900000000</v>
      </c>
      <c r="E32" s="13">
        <f>E31*POWER(10,E30)*1000</f>
        <v>4900000000</v>
      </c>
      <c r="F32" s="13">
        <f t="shared" ref="F32:G32" si="39">F31*POWER(10,F30)*1000</f>
        <v>5300000000</v>
      </c>
      <c r="G32" s="13">
        <f t="shared" si="39"/>
        <v>5200000000</v>
      </c>
      <c r="H32" s="13">
        <f t="shared" si="38"/>
        <v>3800000000</v>
      </c>
      <c r="I32" s="13">
        <f t="shared" si="38"/>
        <v>4100000000</v>
      </c>
      <c r="J32" s="13">
        <f t="shared" si="38"/>
        <v>3700000000</v>
      </c>
      <c r="K32" s="13">
        <f t="shared" si="38"/>
        <v>4000000000</v>
      </c>
      <c r="L32" s="13">
        <f t="shared" si="38"/>
        <v>4600000000</v>
      </c>
      <c r="M32" s="13">
        <f t="shared" si="38"/>
        <v>5200000000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x14ac:dyDescent="0.2">
      <c r="A33" s="14" t="s">
        <v>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14" t="s">
        <v>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17" t="s">
        <v>10</v>
      </c>
      <c r="B35" s="18">
        <f>LOG(B32)</f>
        <v>9.8692317197309762</v>
      </c>
      <c r="C35" s="18">
        <f t="shared" ref="C35:M35" si="40">LOG(C32)</f>
        <v>9.6812412373755876</v>
      </c>
      <c r="D35" s="18">
        <f t="shared" si="40"/>
        <v>9.5910646070264995</v>
      </c>
      <c r="E35" s="18">
        <f>LOG(E32)</f>
        <v>9.6901960800285138</v>
      </c>
      <c r="F35" s="18">
        <f t="shared" ref="F35:G35" si="41">LOG(F32)</f>
        <v>9.7242758696007883</v>
      </c>
      <c r="G35" s="18">
        <f t="shared" si="41"/>
        <v>9.7160033436347994</v>
      </c>
      <c r="H35" s="18">
        <f t="shared" si="40"/>
        <v>9.5797835966168101</v>
      </c>
      <c r="I35" s="18">
        <f t="shared" si="40"/>
        <v>9.6127838567197355</v>
      </c>
      <c r="J35" s="18">
        <f t="shared" si="40"/>
        <v>9.568201724066995</v>
      </c>
      <c r="K35" s="18">
        <f t="shared" si="40"/>
        <v>9.6020599913279625</v>
      </c>
      <c r="L35" s="18">
        <f t="shared" si="40"/>
        <v>9.6627578316815743</v>
      </c>
      <c r="M35" s="18">
        <f t="shared" si="40"/>
        <v>9.7160033436347994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2">
      <c r="A36" s="17" t="s">
        <v>11</v>
      </c>
      <c r="B36" s="19">
        <f>LOG(B29)</f>
        <v>9.6127838567197355</v>
      </c>
      <c r="C36" s="19">
        <f t="shared" ref="C36:M36" si="42">LOG(C29)</f>
        <v>9.5440680443502757</v>
      </c>
      <c r="D36" s="19">
        <f t="shared" si="42"/>
        <v>9.5440680443502757</v>
      </c>
      <c r="E36" s="19">
        <f>LOG(E29)</f>
        <v>9.4771212547196626</v>
      </c>
      <c r="F36" s="19">
        <f t="shared" ref="F36:G36" si="43">LOG(F29)</f>
        <v>9.4313637641589878</v>
      </c>
      <c r="G36" s="19">
        <f t="shared" si="43"/>
        <v>9.518513939877888</v>
      </c>
      <c r="H36" s="19">
        <f t="shared" si="42"/>
        <v>9.5051499783199063</v>
      </c>
      <c r="I36" s="19">
        <f t="shared" si="42"/>
        <v>9.3802112417116064</v>
      </c>
      <c r="J36" s="19">
        <f t="shared" si="42"/>
        <v>9.4623979978989556</v>
      </c>
      <c r="K36" s="19">
        <f t="shared" si="42"/>
        <v>9.1760912590556813</v>
      </c>
      <c r="L36" s="19">
        <f t="shared" si="42"/>
        <v>9.3617278360175931</v>
      </c>
      <c r="M36" s="19">
        <f t="shared" si="42"/>
        <v>9.4149733479708182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DF4F-FEAE-4D77-B158-964D306B4CAA}">
  <dimension ref="A1:Y37"/>
  <sheetViews>
    <sheetView tabSelected="1" zoomScale="76" zoomScaleNormal="65" workbookViewId="0">
      <selection activeCell="A26" sqref="A26"/>
    </sheetView>
  </sheetViews>
  <sheetFormatPr defaultRowHeight="16.5" x14ac:dyDescent="0.25"/>
  <cols>
    <col min="1" max="1" width="18.625" customWidth="1"/>
    <col min="2" max="2" width="14.125" customWidth="1"/>
    <col min="3" max="3" width="15.125" customWidth="1"/>
    <col min="4" max="4" width="15.625" customWidth="1"/>
    <col min="5" max="5" width="15.5" bestFit="1" customWidth="1"/>
    <col min="6" max="6" width="17.25" customWidth="1"/>
    <col min="7" max="7" width="14.5" customWidth="1"/>
    <col min="8" max="8" width="14.25" customWidth="1"/>
    <col min="9" max="9" width="14.75" customWidth="1"/>
    <col min="10" max="25" width="12.75" customWidth="1"/>
  </cols>
  <sheetData>
    <row r="1" spans="1:25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28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</row>
    <row r="3" spans="1:25" x14ac:dyDescent="0.2">
      <c r="A3" s="7" t="s">
        <v>5</v>
      </c>
      <c r="B3" s="8">
        <v>5</v>
      </c>
      <c r="C3" s="8">
        <v>5</v>
      </c>
      <c r="D3" s="8">
        <v>5</v>
      </c>
      <c r="E3" s="8">
        <v>5</v>
      </c>
      <c r="F3" s="8">
        <v>5</v>
      </c>
      <c r="G3" s="8">
        <v>5</v>
      </c>
      <c r="H3" s="8">
        <v>4</v>
      </c>
      <c r="I3" s="8">
        <v>4</v>
      </c>
      <c r="J3" s="8">
        <v>4</v>
      </c>
      <c r="K3" s="8">
        <v>5</v>
      </c>
      <c r="L3" s="8">
        <v>5</v>
      </c>
      <c r="M3" s="8">
        <v>5</v>
      </c>
      <c r="N3" s="8">
        <v>6</v>
      </c>
      <c r="O3" s="8">
        <v>6</v>
      </c>
      <c r="P3" s="8">
        <v>6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4</v>
      </c>
      <c r="X3" s="8">
        <v>4</v>
      </c>
      <c r="Y3" s="8">
        <v>4</v>
      </c>
    </row>
    <row r="4" spans="1:25" x14ac:dyDescent="0.2">
      <c r="A4" s="7" t="s">
        <v>25</v>
      </c>
      <c r="B4" s="8">
        <v>22</v>
      </c>
      <c r="C4" s="8">
        <v>20</v>
      </c>
      <c r="D4" s="8">
        <v>24</v>
      </c>
      <c r="E4" s="8">
        <v>71</v>
      </c>
      <c r="F4" s="8">
        <v>49</v>
      </c>
      <c r="G4" s="8">
        <v>63</v>
      </c>
      <c r="H4" s="8">
        <v>31</v>
      </c>
      <c r="I4" s="8">
        <v>11</v>
      </c>
      <c r="J4" s="8">
        <v>16</v>
      </c>
      <c r="K4" s="8">
        <v>88</v>
      </c>
      <c r="L4" s="8">
        <v>82</v>
      </c>
      <c r="M4" s="8">
        <v>102</v>
      </c>
      <c r="N4" s="8">
        <v>14</v>
      </c>
      <c r="O4" s="8">
        <v>7</v>
      </c>
      <c r="P4" s="8">
        <v>12</v>
      </c>
      <c r="Q4" s="8">
        <v>93</v>
      </c>
      <c r="R4" s="8">
        <v>93</v>
      </c>
      <c r="S4" s="8">
        <v>76</v>
      </c>
      <c r="T4" s="8">
        <v>9</v>
      </c>
      <c r="U4" s="8">
        <v>13</v>
      </c>
      <c r="V4" s="8">
        <v>8</v>
      </c>
      <c r="W4" s="8">
        <v>121</v>
      </c>
      <c r="X4" s="8">
        <v>118</v>
      </c>
      <c r="Y4" s="8">
        <v>129</v>
      </c>
    </row>
    <row r="5" spans="1:25" x14ac:dyDescent="0.2">
      <c r="A5" s="9" t="s">
        <v>6</v>
      </c>
      <c r="B5" s="10">
        <f>B4*40*POWER(10,B3)*1000</f>
        <v>88000000000</v>
      </c>
      <c r="C5" s="10">
        <f t="shared" ref="C5:Y5" si="0">C4*40*POWER(10,C3)*1000</f>
        <v>80000000000</v>
      </c>
      <c r="D5" s="10">
        <f t="shared" si="0"/>
        <v>96000000000</v>
      </c>
      <c r="E5" s="10">
        <f>E4*40*POWER(10,E3)*1000</f>
        <v>284000000000</v>
      </c>
      <c r="F5" s="10">
        <f t="shared" ref="F5:G5" si="1">F4*40*POWER(10,F3)*1000</f>
        <v>196000000000</v>
      </c>
      <c r="G5" s="10">
        <f t="shared" si="1"/>
        <v>252000000000</v>
      </c>
      <c r="H5" s="10">
        <f>H4*40*POWER(10,H3)*1000</f>
        <v>12400000000</v>
      </c>
      <c r="I5" s="10">
        <f t="shared" ref="I5:J5" si="2">I4*40*POWER(10,I3)*1000</f>
        <v>4400000000</v>
      </c>
      <c r="J5" s="10">
        <f t="shared" si="2"/>
        <v>6400000000</v>
      </c>
      <c r="K5" s="10">
        <f>K4*40*POWER(10,K3)*1000</f>
        <v>352000000000</v>
      </c>
      <c r="L5" s="10">
        <f t="shared" ref="L5:M5" si="3">L4*40*POWER(10,L3)*1000</f>
        <v>328000000000</v>
      </c>
      <c r="M5" s="10">
        <f t="shared" si="3"/>
        <v>408000000000</v>
      </c>
      <c r="N5" s="10">
        <f t="shared" si="0"/>
        <v>560000000000</v>
      </c>
      <c r="O5" s="10">
        <f t="shared" si="0"/>
        <v>280000000000</v>
      </c>
      <c r="P5" s="10">
        <f t="shared" si="0"/>
        <v>480000000000</v>
      </c>
      <c r="Q5" s="10">
        <f t="shared" si="0"/>
        <v>372000000000</v>
      </c>
      <c r="R5" s="10">
        <f t="shared" si="0"/>
        <v>372000000000</v>
      </c>
      <c r="S5" s="10">
        <f t="shared" si="0"/>
        <v>304000000000</v>
      </c>
      <c r="T5" s="10">
        <f t="shared" si="0"/>
        <v>36000000000</v>
      </c>
      <c r="U5" s="10">
        <f t="shared" si="0"/>
        <v>52000000000</v>
      </c>
      <c r="V5" s="10">
        <f t="shared" si="0"/>
        <v>32000000000</v>
      </c>
      <c r="W5" s="10">
        <f t="shared" si="0"/>
        <v>48400000000</v>
      </c>
      <c r="X5" s="10">
        <f t="shared" si="0"/>
        <v>47200000000</v>
      </c>
      <c r="Y5" s="10">
        <f t="shared" si="0"/>
        <v>51600000000</v>
      </c>
    </row>
    <row r="6" spans="1:25" x14ac:dyDescent="0.2">
      <c r="A6" s="11" t="s">
        <v>7</v>
      </c>
      <c r="B6" s="12">
        <v>6</v>
      </c>
      <c r="C6" s="12">
        <v>6</v>
      </c>
      <c r="D6" s="12">
        <v>6</v>
      </c>
      <c r="E6" s="12">
        <v>5</v>
      </c>
      <c r="F6" s="12">
        <v>5</v>
      </c>
      <c r="G6" s="12">
        <v>5</v>
      </c>
      <c r="H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4</v>
      </c>
      <c r="O6" s="12">
        <v>4</v>
      </c>
      <c r="P6" s="12">
        <v>4</v>
      </c>
      <c r="Q6" s="12">
        <v>3</v>
      </c>
      <c r="R6" s="12">
        <v>3</v>
      </c>
      <c r="S6" s="12">
        <v>3</v>
      </c>
      <c r="T6" s="12">
        <v>6</v>
      </c>
      <c r="U6" s="12">
        <v>6</v>
      </c>
      <c r="V6" s="12">
        <v>6</v>
      </c>
      <c r="W6" s="12">
        <v>4</v>
      </c>
      <c r="X6" s="12">
        <v>4</v>
      </c>
      <c r="Y6" s="12">
        <v>4</v>
      </c>
    </row>
    <row r="7" spans="1:25" x14ac:dyDescent="0.2">
      <c r="A7" s="11" t="s">
        <v>19</v>
      </c>
      <c r="B7" s="12">
        <v>17</v>
      </c>
      <c r="C7" s="12">
        <v>19</v>
      </c>
      <c r="D7" s="12">
        <v>20</v>
      </c>
      <c r="E7" s="12">
        <v>152</v>
      </c>
      <c r="F7" s="12">
        <v>137</v>
      </c>
      <c r="G7" s="12">
        <v>103</v>
      </c>
      <c r="H7" s="12">
        <v>58</v>
      </c>
      <c r="I7" s="12">
        <v>31</v>
      </c>
      <c r="J7" s="12">
        <v>43</v>
      </c>
      <c r="K7" s="12">
        <v>18</v>
      </c>
      <c r="L7" s="12">
        <v>19</v>
      </c>
      <c r="M7" s="12">
        <v>18</v>
      </c>
      <c r="N7" s="12">
        <v>36</v>
      </c>
      <c r="O7" s="12">
        <v>30</v>
      </c>
      <c r="P7" s="12">
        <v>48</v>
      </c>
      <c r="Q7" s="12">
        <v>130</v>
      </c>
      <c r="R7" s="12">
        <v>143</v>
      </c>
      <c r="S7" s="12">
        <v>111</v>
      </c>
      <c r="T7" s="12">
        <v>37</v>
      </c>
      <c r="U7" s="12">
        <v>27</v>
      </c>
      <c r="V7" s="12">
        <v>28</v>
      </c>
      <c r="W7" s="12">
        <v>108</v>
      </c>
      <c r="X7" s="12">
        <v>87</v>
      </c>
      <c r="Y7" s="12">
        <v>28</v>
      </c>
    </row>
    <row r="8" spans="1:25" x14ac:dyDescent="0.2">
      <c r="A8" s="11" t="s">
        <v>6</v>
      </c>
      <c r="B8" s="13">
        <f>B7*40*POWER(10,B6)*1000</f>
        <v>680000000000</v>
      </c>
      <c r="C8" s="13">
        <f t="shared" ref="C8:Y8" si="4">C7*40*POWER(10,C6)*1000</f>
        <v>760000000000</v>
      </c>
      <c r="D8" s="13">
        <f t="shared" si="4"/>
        <v>800000000000</v>
      </c>
      <c r="E8" s="13">
        <f>E7*40*POWER(10,E6)*1000</f>
        <v>608000000000</v>
      </c>
      <c r="F8" s="13">
        <f t="shared" ref="F8:G8" si="5">F7*40*POWER(10,F6)*1000</f>
        <v>548000000000</v>
      </c>
      <c r="G8" s="13">
        <f t="shared" si="5"/>
        <v>412000000000</v>
      </c>
      <c r="H8" s="13">
        <f>H7*40*POWER(10,H6)*1000</f>
        <v>232000000000</v>
      </c>
      <c r="I8" s="13">
        <f t="shared" ref="I8:J8" si="6">I7*40*POWER(10,I6)*1000</f>
        <v>124000000000</v>
      </c>
      <c r="J8" s="13">
        <f t="shared" si="6"/>
        <v>172000000000</v>
      </c>
      <c r="K8" s="13">
        <f>K7*40*POWER(10,K6)*1000</f>
        <v>72000000000</v>
      </c>
      <c r="L8" s="13">
        <f t="shared" ref="L8:M8" si="7">L7*40*POWER(10,L6)*1000</f>
        <v>76000000000</v>
      </c>
      <c r="M8" s="13">
        <f t="shared" si="7"/>
        <v>72000000000</v>
      </c>
      <c r="N8" s="13">
        <f t="shared" si="4"/>
        <v>14400000000</v>
      </c>
      <c r="O8" s="13">
        <f t="shared" si="4"/>
        <v>12000000000</v>
      </c>
      <c r="P8" s="13">
        <f t="shared" si="4"/>
        <v>19200000000</v>
      </c>
      <c r="Q8" s="13">
        <f t="shared" si="4"/>
        <v>5200000000</v>
      </c>
      <c r="R8" s="13">
        <f t="shared" si="4"/>
        <v>5720000000</v>
      </c>
      <c r="S8" s="13">
        <f t="shared" si="4"/>
        <v>4440000000</v>
      </c>
      <c r="T8" s="13">
        <f t="shared" si="4"/>
        <v>1480000000000</v>
      </c>
      <c r="U8" s="13">
        <f t="shared" si="4"/>
        <v>1080000000000</v>
      </c>
      <c r="V8" s="13">
        <f t="shared" si="4"/>
        <v>1120000000000</v>
      </c>
      <c r="W8" s="13">
        <f t="shared" si="4"/>
        <v>43200000000</v>
      </c>
      <c r="X8" s="13">
        <f t="shared" si="4"/>
        <v>34800000000</v>
      </c>
      <c r="Y8" s="13">
        <f t="shared" si="4"/>
        <v>11200000000</v>
      </c>
    </row>
    <row r="9" spans="1:25" x14ac:dyDescent="0.2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14" t="s">
        <v>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2">
      <c r="A11" s="17" t="s">
        <v>10</v>
      </c>
      <c r="B11" s="18">
        <f>LOG(B8)</f>
        <v>11.832508912706237</v>
      </c>
      <c r="C11" s="18">
        <f t="shared" ref="C11:S11" si="8">LOG(C8)</f>
        <v>11.880813592280791</v>
      </c>
      <c r="D11" s="18">
        <f t="shared" si="8"/>
        <v>11.903089986991944</v>
      </c>
      <c r="E11" s="18">
        <f>LOG(E8)</f>
        <v>11.783903579272735</v>
      </c>
      <c r="F11" s="18">
        <f t="shared" ref="F11:G11" si="9">LOG(F8)</f>
        <v>11.738780558484368</v>
      </c>
      <c r="G11" s="18">
        <f t="shared" si="9"/>
        <v>11.614897216033135</v>
      </c>
      <c r="H11" s="18">
        <f>LOG(H8)</f>
        <v>11.365487984890899</v>
      </c>
      <c r="I11" s="18">
        <f t="shared" ref="I11:J11" si="10">LOG(I8)</f>
        <v>11.093421685162236</v>
      </c>
      <c r="J11" s="18">
        <f t="shared" si="10"/>
        <v>11.23552844690755</v>
      </c>
      <c r="K11" s="18">
        <f>LOG(K8)</f>
        <v>10.857332496431269</v>
      </c>
      <c r="L11" s="18">
        <f t="shared" ref="L11:M11" si="11">LOG(L8)</f>
        <v>10.880813592280791</v>
      </c>
      <c r="M11" s="18">
        <f t="shared" si="11"/>
        <v>10.857332496431269</v>
      </c>
      <c r="N11" s="18">
        <f t="shared" si="8"/>
        <v>10.15836249209525</v>
      </c>
      <c r="O11" s="18">
        <f t="shared" si="8"/>
        <v>10.079181246047625</v>
      </c>
      <c r="P11" s="18">
        <f t="shared" si="8"/>
        <v>10.28330122870355</v>
      </c>
      <c r="Q11" s="18">
        <f t="shared" si="8"/>
        <v>9.7160033436347994</v>
      </c>
      <c r="R11" s="18">
        <f t="shared" si="8"/>
        <v>9.7573960287930248</v>
      </c>
      <c r="S11" s="18">
        <f t="shared" si="8"/>
        <v>9.6473829701146201</v>
      </c>
      <c r="T11" s="18">
        <f t="shared" ref="T11:Y11" si="12">LOG(T8)</f>
        <v>12.170261715394957</v>
      </c>
      <c r="U11" s="18">
        <f t="shared" si="12"/>
        <v>12.03342375548695</v>
      </c>
      <c r="V11" s="18">
        <f t="shared" si="12"/>
        <v>12.049218022670182</v>
      </c>
      <c r="W11" s="18">
        <f t="shared" si="12"/>
        <v>10.635483746814913</v>
      </c>
      <c r="X11" s="18">
        <f t="shared" si="12"/>
        <v>10.541579243946581</v>
      </c>
      <c r="Y11" s="18">
        <f t="shared" si="12"/>
        <v>10.049218022670182</v>
      </c>
    </row>
    <row r="12" spans="1:25" x14ac:dyDescent="0.2">
      <c r="A12" s="17" t="s">
        <v>11</v>
      </c>
      <c r="B12" s="19">
        <f>LOG(B5)</f>
        <v>10.944482672150169</v>
      </c>
      <c r="C12" s="19">
        <f t="shared" ref="C12:Y12" si="13">LOG(C5)</f>
        <v>10.903089986991944</v>
      </c>
      <c r="D12" s="19">
        <f t="shared" si="13"/>
        <v>10.982271233039569</v>
      </c>
      <c r="E12" s="19">
        <f>LOG(E5)</f>
        <v>11.453318340047037</v>
      </c>
      <c r="F12" s="19">
        <f t="shared" ref="F12:G12" si="14">LOG(F5)</f>
        <v>11.292256071356476</v>
      </c>
      <c r="G12" s="19">
        <f t="shared" si="14"/>
        <v>11.401400540781545</v>
      </c>
      <c r="H12" s="19">
        <f>LOG(H5)</f>
        <v>10.093421685162236</v>
      </c>
      <c r="I12" s="19">
        <f t="shared" ref="I12:J12" si="15">LOG(I5)</f>
        <v>9.6434526764861879</v>
      </c>
      <c r="J12" s="19">
        <f t="shared" si="15"/>
        <v>9.8061799739838875</v>
      </c>
      <c r="K12" s="19">
        <f>LOG(K5)</f>
        <v>11.546542663478132</v>
      </c>
      <c r="L12" s="19">
        <f t="shared" ref="L12:M12" si="16">LOG(L5)</f>
        <v>11.515873843711679</v>
      </c>
      <c r="M12" s="19">
        <f t="shared" si="16"/>
        <v>11.61066016308988</v>
      </c>
      <c r="N12" s="19">
        <f t="shared" si="13"/>
        <v>11.748188027006201</v>
      </c>
      <c r="O12" s="19">
        <f t="shared" si="13"/>
        <v>11.447158031342219</v>
      </c>
      <c r="P12" s="19">
        <f t="shared" si="13"/>
        <v>11.681241237375588</v>
      </c>
      <c r="Q12" s="19">
        <f t="shared" si="13"/>
        <v>11.570542939881898</v>
      </c>
      <c r="R12" s="19">
        <f t="shared" si="13"/>
        <v>11.570542939881898</v>
      </c>
      <c r="S12" s="19">
        <f t="shared" si="13"/>
        <v>11.482873583608754</v>
      </c>
      <c r="T12" s="19">
        <f t="shared" si="13"/>
        <v>10.556302500767288</v>
      </c>
      <c r="U12" s="19">
        <f t="shared" si="13"/>
        <v>10.716003343634799</v>
      </c>
      <c r="V12" s="19">
        <f t="shared" si="13"/>
        <v>10.505149978319906</v>
      </c>
      <c r="W12" s="19">
        <f t="shared" si="13"/>
        <v>10.684845361644413</v>
      </c>
      <c r="X12" s="19">
        <f t="shared" si="13"/>
        <v>10.673941998634088</v>
      </c>
      <c r="Y12" s="19">
        <f t="shared" si="13"/>
        <v>10.712649701627212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2" t="s">
        <v>18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  <c r="N14" s="5" t="s">
        <v>14</v>
      </c>
      <c r="O14" s="5" t="s">
        <v>14</v>
      </c>
      <c r="P14" s="5" t="s">
        <v>14</v>
      </c>
      <c r="Q14" s="5" t="s">
        <v>14</v>
      </c>
      <c r="R14" s="5" t="s">
        <v>14</v>
      </c>
      <c r="S14" s="5" t="s">
        <v>14</v>
      </c>
      <c r="T14" s="6" t="s">
        <v>15</v>
      </c>
      <c r="U14" s="6" t="s">
        <v>15</v>
      </c>
      <c r="V14" s="6" t="s">
        <v>15</v>
      </c>
      <c r="W14" s="6" t="s">
        <v>15</v>
      </c>
      <c r="X14" s="6" t="s">
        <v>15</v>
      </c>
      <c r="Y14" s="6" t="s">
        <v>15</v>
      </c>
    </row>
    <row r="15" spans="1:25" x14ac:dyDescent="0.2">
      <c r="A15" s="7" t="s">
        <v>5</v>
      </c>
      <c r="B15" s="8">
        <v>5</v>
      </c>
      <c r="C15" s="8">
        <v>5</v>
      </c>
      <c r="D15" s="8">
        <v>5</v>
      </c>
      <c r="E15" s="8">
        <v>5</v>
      </c>
      <c r="F15" s="8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8">
        <v>4</v>
      </c>
      <c r="O15" s="8">
        <v>4</v>
      </c>
      <c r="P15" s="8">
        <v>4</v>
      </c>
      <c r="Q15" s="8">
        <v>3</v>
      </c>
      <c r="R15" s="8">
        <v>3</v>
      </c>
      <c r="S15" s="8">
        <v>3</v>
      </c>
      <c r="T15" s="8">
        <v>5</v>
      </c>
      <c r="U15" s="8">
        <v>5</v>
      </c>
      <c r="V15" s="8">
        <v>5</v>
      </c>
      <c r="W15" s="8">
        <v>4</v>
      </c>
      <c r="X15" s="8">
        <v>4</v>
      </c>
      <c r="Y15" s="8">
        <v>4</v>
      </c>
    </row>
    <row r="16" spans="1:25" x14ac:dyDescent="0.2">
      <c r="A16" s="7" t="s">
        <v>25</v>
      </c>
      <c r="B16" s="8">
        <v>31</v>
      </c>
      <c r="C16" s="8">
        <v>51</v>
      </c>
      <c r="D16" s="8">
        <v>21</v>
      </c>
      <c r="E16" s="8">
        <v>70</v>
      </c>
      <c r="F16" s="8">
        <v>85</v>
      </c>
      <c r="G16" s="8">
        <v>71</v>
      </c>
      <c r="H16" s="8">
        <v>10</v>
      </c>
      <c r="I16" s="8">
        <v>8</v>
      </c>
      <c r="J16" s="8">
        <v>12</v>
      </c>
      <c r="K16" s="8">
        <v>24</v>
      </c>
      <c r="L16" s="8">
        <v>15</v>
      </c>
      <c r="M16" s="8">
        <v>11</v>
      </c>
      <c r="N16" s="8">
        <v>14</v>
      </c>
      <c r="O16" s="8">
        <v>7</v>
      </c>
      <c r="P16" s="8">
        <v>9</v>
      </c>
      <c r="Q16" s="8">
        <v>76</v>
      </c>
      <c r="R16" s="8">
        <v>53</v>
      </c>
      <c r="S16" s="8">
        <v>75</v>
      </c>
      <c r="T16" s="8">
        <v>3</v>
      </c>
      <c r="U16" s="8">
        <v>6</v>
      </c>
      <c r="V16" s="8">
        <v>8</v>
      </c>
      <c r="W16" s="8">
        <v>100</v>
      </c>
      <c r="X16" s="8">
        <v>100</v>
      </c>
      <c r="Y16" s="8">
        <v>110</v>
      </c>
    </row>
    <row r="17" spans="1:25" x14ac:dyDescent="0.2">
      <c r="A17" s="9" t="s">
        <v>6</v>
      </c>
      <c r="B17" s="10">
        <f t="shared" ref="B17:G17" si="17">B16*40*POWER(10,B15)*1000</f>
        <v>124000000000</v>
      </c>
      <c r="C17" s="10">
        <f t="shared" si="17"/>
        <v>204000000000</v>
      </c>
      <c r="D17" s="10">
        <f t="shared" si="17"/>
        <v>84000000000</v>
      </c>
      <c r="E17" s="10">
        <f t="shared" si="17"/>
        <v>280000000000</v>
      </c>
      <c r="F17" s="10">
        <f t="shared" si="17"/>
        <v>340000000000</v>
      </c>
      <c r="G17" s="10">
        <f t="shared" si="17"/>
        <v>284000000000</v>
      </c>
      <c r="H17" s="10">
        <f t="shared" ref="H17:M17" si="18">H16*40*POWER(10,H15)*1000</f>
        <v>40000000000</v>
      </c>
      <c r="I17" s="10">
        <f t="shared" si="18"/>
        <v>32000000000</v>
      </c>
      <c r="J17" s="10">
        <f t="shared" si="18"/>
        <v>48000000000</v>
      </c>
      <c r="K17" s="10">
        <f t="shared" si="18"/>
        <v>96000000000</v>
      </c>
      <c r="L17" s="10">
        <f t="shared" si="18"/>
        <v>60000000000</v>
      </c>
      <c r="M17" s="10">
        <f t="shared" si="18"/>
        <v>44000000000</v>
      </c>
      <c r="N17" s="10">
        <f t="shared" ref="N17:Y17" si="19">N16*40*POWER(10,N15)*1000</f>
        <v>5600000000</v>
      </c>
      <c r="O17" s="10">
        <f t="shared" si="19"/>
        <v>2800000000</v>
      </c>
      <c r="P17" s="10">
        <f t="shared" si="19"/>
        <v>3600000000</v>
      </c>
      <c r="Q17" s="10">
        <f t="shared" si="19"/>
        <v>3040000000</v>
      </c>
      <c r="R17" s="10">
        <f t="shared" si="19"/>
        <v>2120000000</v>
      </c>
      <c r="S17" s="10">
        <f t="shared" si="19"/>
        <v>3000000000</v>
      </c>
      <c r="T17" s="10">
        <f t="shared" si="19"/>
        <v>12000000000</v>
      </c>
      <c r="U17" s="10">
        <f t="shared" si="19"/>
        <v>24000000000</v>
      </c>
      <c r="V17" s="10">
        <f t="shared" si="19"/>
        <v>32000000000</v>
      </c>
      <c r="W17" s="10">
        <f t="shared" si="19"/>
        <v>40000000000</v>
      </c>
      <c r="X17" s="10">
        <f t="shared" si="19"/>
        <v>40000000000</v>
      </c>
      <c r="Y17" s="10">
        <f t="shared" si="19"/>
        <v>44000000000</v>
      </c>
    </row>
    <row r="18" spans="1:25" x14ac:dyDescent="0.2">
      <c r="A18" s="11" t="s">
        <v>7</v>
      </c>
      <c r="B18" s="12">
        <v>5</v>
      </c>
      <c r="C18" s="12">
        <v>5</v>
      </c>
      <c r="D18" s="12">
        <v>5</v>
      </c>
      <c r="E18" s="12">
        <v>5</v>
      </c>
      <c r="F18" s="12">
        <v>5</v>
      </c>
      <c r="G18" s="12">
        <v>5</v>
      </c>
      <c r="H18" s="12">
        <v>2</v>
      </c>
      <c r="I18" s="12">
        <v>2</v>
      </c>
      <c r="J18" s="12">
        <v>2</v>
      </c>
      <c r="K18" s="12">
        <v>2</v>
      </c>
      <c r="L18" s="12">
        <v>2</v>
      </c>
      <c r="M18" s="12">
        <v>2</v>
      </c>
      <c r="N18" s="12">
        <v>6</v>
      </c>
      <c r="O18" s="12">
        <v>6</v>
      </c>
      <c r="P18" s="12">
        <v>6</v>
      </c>
      <c r="Q18" s="12">
        <v>5</v>
      </c>
      <c r="R18" s="12">
        <v>5</v>
      </c>
      <c r="S18" s="12">
        <v>5</v>
      </c>
      <c r="T18" s="12">
        <v>4</v>
      </c>
      <c r="U18" s="12">
        <v>4</v>
      </c>
      <c r="V18" s="12">
        <v>4</v>
      </c>
      <c r="W18" s="12">
        <v>4</v>
      </c>
      <c r="X18" s="12">
        <v>4</v>
      </c>
      <c r="Y18" s="12">
        <v>4</v>
      </c>
    </row>
    <row r="19" spans="1:25" x14ac:dyDescent="0.2">
      <c r="A19" s="11" t="s">
        <v>19</v>
      </c>
      <c r="B19" s="12">
        <v>26</v>
      </c>
      <c r="C19" s="12">
        <v>34</v>
      </c>
      <c r="D19" s="12">
        <v>32</v>
      </c>
      <c r="E19" s="12">
        <v>31</v>
      </c>
      <c r="F19" s="12">
        <v>43</v>
      </c>
      <c r="G19" s="12">
        <v>43</v>
      </c>
      <c r="H19" s="12">
        <v>67</v>
      </c>
      <c r="I19" s="12">
        <v>37</v>
      </c>
      <c r="J19" s="12">
        <v>71</v>
      </c>
      <c r="K19" s="12">
        <v>50</v>
      </c>
      <c r="L19" s="12">
        <v>64</v>
      </c>
      <c r="M19" s="12">
        <v>48</v>
      </c>
      <c r="N19" s="12">
        <v>32</v>
      </c>
      <c r="O19" s="12">
        <v>38</v>
      </c>
      <c r="P19" s="12">
        <v>30</v>
      </c>
      <c r="Q19" s="12">
        <v>268</v>
      </c>
      <c r="R19" s="12">
        <v>226</v>
      </c>
      <c r="S19" s="12">
        <v>254</v>
      </c>
      <c r="T19" s="12">
        <v>7</v>
      </c>
      <c r="U19" s="12">
        <v>6</v>
      </c>
      <c r="V19" s="12">
        <v>26</v>
      </c>
      <c r="W19" s="12">
        <v>16</v>
      </c>
      <c r="X19" s="12">
        <v>17</v>
      </c>
      <c r="Y19" s="12">
        <v>66</v>
      </c>
    </row>
    <row r="20" spans="1:25" x14ac:dyDescent="0.2">
      <c r="A20" s="11" t="s">
        <v>6</v>
      </c>
      <c r="B20" s="13">
        <f t="shared" ref="B20:G20" si="20">B19*40*POWER(10,B18)*1000</f>
        <v>104000000000</v>
      </c>
      <c r="C20" s="13">
        <f t="shared" si="20"/>
        <v>136000000000</v>
      </c>
      <c r="D20" s="13">
        <f t="shared" si="20"/>
        <v>128000000000</v>
      </c>
      <c r="E20" s="13">
        <f t="shared" si="20"/>
        <v>124000000000</v>
      </c>
      <c r="F20" s="13">
        <f t="shared" si="20"/>
        <v>172000000000</v>
      </c>
      <c r="G20" s="13">
        <f t="shared" si="20"/>
        <v>172000000000</v>
      </c>
      <c r="H20" s="13">
        <f t="shared" ref="H20:M20" si="21">H19*40*POWER(10,H18)*1000</f>
        <v>268000000</v>
      </c>
      <c r="I20" s="13">
        <f t="shared" si="21"/>
        <v>148000000</v>
      </c>
      <c r="J20" s="13">
        <f t="shared" si="21"/>
        <v>284000000</v>
      </c>
      <c r="K20" s="13">
        <f t="shared" si="21"/>
        <v>200000000</v>
      </c>
      <c r="L20" s="13">
        <f t="shared" si="21"/>
        <v>256000000</v>
      </c>
      <c r="M20" s="13">
        <f t="shared" si="21"/>
        <v>192000000</v>
      </c>
      <c r="N20" s="13">
        <f t="shared" ref="N20:Y20" si="22">N19*40*POWER(10,N18)*1000</f>
        <v>1280000000000</v>
      </c>
      <c r="O20" s="13">
        <f t="shared" si="22"/>
        <v>1520000000000</v>
      </c>
      <c r="P20" s="13">
        <f t="shared" si="22"/>
        <v>1200000000000</v>
      </c>
      <c r="Q20" s="13">
        <f t="shared" si="22"/>
        <v>1072000000000</v>
      </c>
      <c r="R20" s="13">
        <f t="shared" si="22"/>
        <v>904000000000</v>
      </c>
      <c r="S20" s="13">
        <f t="shared" si="22"/>
        <v>1016000000000</v>
      </c>
      <c r="T20" s="13">
        <f t="shared" si="22"/>
        <v>2800000000</v>
      </c>
      <c r="U20" s="13">
        <f t="shared" si="22"/>
        <v>2400000000</v>
      </c>
      <c r="V20" s="13">
        <f t="shared" si="22"/>
        <v>10400000000</v>
      </c>
      <c r="W20" s="13">
        <f t="shared" si="22"/>
        <v>6400000000</v>
      </c>
      <c r="X20" s="13">
        <f t="shared" si="22"/>
        <v>6800000000</v>
      </c>
      <c r="Y20" s="13">
        <f t="shared" si="22"/>
        <v>26400000000</v>
      </c>
    </row>
    <row r="21" spans="1:25" x14ac:dyDescent="0.2">
      <c r="A21" s="14" t="s">
        <v>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14" t="s">
        <v>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17" t="s">
        <v>10</v>
      </c>
      <c r="B23" s="18">
        <f t="shared" ref="B23:G23" si="23">LOG(B20)</f>
        <v>11.017033339298781</v>
      </c>
      <c r="C23" s="18">
        <f t="shared" si="23"/>
        <v>11.133538908370218</v>
      </c>
      <c r="D23" s="18">
        <f t="shared" si="23"/>
        <v>11.107209969647869</v>
      </c>
      <c r="E23" s="18">
        <f t="shared" si="23"/>
        <v>11.093421685162236</v>
      </c>
      <c r="F23" s="18">
        <f t="shared" si="23"/>
        <v>11.23552844690755</v>
      </c>
      <c r="G23" s="18">
        <f t="shared" si="23"/>
        <v>11.23552844690755</v>
      </c>
      <c r="H23" s="18">
        <f t="shared" ref="H23:M23" si="24">LOG(H20)</f>
        <v>8.4281347940287894</v>
      </c>
      <c r="I23" s="18">
        <f t="shared" si="24"/>
        <v>8.1702617153949575</v>
      </c>
      <c r="J23" s="18">
        <f t="shared" si="24"/>
        <v>8.4533183400470371</v>
      </c>
      <c r="K23" s="18">
        <f t="shared" si="24"/>
        <v>8.3010299956639813</v>
      </c>
      <c r="L23" s="18">
        <f t="shared" si="24"/>
        <v>8.40823996531185</v>
      </c>
      <c r="M23" s="18">
        <f t="shared" si="24"/>
        <v>8.2833012287035501</v>
      </c>
      <c r="N23" s="18">
        <f t="shared" ref="N23:S23" si="25">LOG(N20)</f>
        <v>12.107209969647869</v>
      </c>
      <c r="O23" s="18">
        <f t="shared" si="25"/>
        <v>12.181843587944773</v>
      </c>
      <c r="P23" s="18">
        <f t="shared" si="25"/>
        <v>12.079181246047625</v>
      </c>
      <c r="Q23" s="18">
        <f t="shared" si="25"/>
        <v>12.030194785356752</v>
      </c>
      <c r="R23" s="18">
        <f t="shared" si="25"/>
        <v>11.956168430475364</v>
      </c>
      <c r="S23" s="18">
        <f t="shared" si="25"/>
        <v>12.006893707947901</v>
      </c>
      <c r="T23" s="18">
        <f t="shared" ref="T23:Y23" si="26">LOG(T20)</f>
        <v>9.4471580313422194</v>
      </c>
      <c r="U23" s="18">
        <f t="shared" si="26"/>
        <v>9.3802112417116064</v>
      </c>
      <c r="V23" s="18">
        <f t="shared" si="26"/>
        <v>10.017033339298781</v>
      </c>
      <c r="W23" s="18">
        <f t="shared" si="26"/>
        <v>9.8061799739838875</v>
      </c>
      <c r="X23" s="18">
        <f t="shared" si="26"/>
        <v>9.8325089127062366</v>
      </c>
      <c r="Y23" s="18">
        <f t="shared" si="26"/>
        <v>10.421603926869832</v>
      </c>
    </row>
    <row r="24" spans="1:25" x14ac:dyDescent="0.2">
      <c r="A24" s="17" t="s">
        <v>11</v>
      </c>
      <c r="B24" s="19">
        <f t="shared" ref="B24:G24" si="27">LOG(B17)</f>
        <v>11.093421685162236</v>
      </c>
      <c r="C24" s="19">
        <f t="shared" si="27"/>
        <v>11.309630167425899</v>
      </c>
      <c r="D24" s="19">
        <f t="shared" si="27"/>
        <v>10.924279286061882</v>
      </c>
      <c r="E24" s="19">
        <f t="shared" si="27"/>
        <v>11.447158031342219</v>
      </c>
      <c r="F24" s="19">
        <f t="shared" si="27"/>
        <v>11.531478917042255</v>
      </c>
      <c r="G24" s="19">
        <f t="shared" si="27"/>
        <v>11.453318340047037</v>
      </c>
      <c r="H24" s="19">
        <f t="shared" ref="H24:M24" si="28">LOG(H17)</f>
        <v>10.602059991327963</v>
      </c>
      <c r="I24" s="19">
        <f t="shared" si="28"/>
        <v>10.505149978319906</v>
      </c>
      <c r="J24" s="19">
        <f t="shared" si="28"/>
        <v>10.681241237375588</v>
      </c>
      <c r="K24" s="19">
        <f t="shared" si="28"/>
        <v>10.982271233039569</v>
      </c>
      <c r="L24" s="19">
        <f t="shared" si="28"/>
        <v>10.778151250383644</v>
      </c>
      <c r="M24" s="19">
        <f t="shared" si="28"/>
        <v>10.643452676486188</v>
      </c>
      <c r="N24" s="19">
        <f t="shared" ref="N24:Y24" si="29">LOG(N17)</f>
        <v>9.7481880270062007</v>
      </c>
      <c r="O24" s="19">
        <f t="shared" si="29"/>
        <v>9.4471580313422194</v>
      </c>
      <c r="P24" s="19">
        <f t="shared" si="29"/>
        <v>9.5563025007672877</v>
      </c>
      <c r="Q24" s="19">
        <f t="shared" si="29"/>
        <v>9.4828735836087539</v>
      </c>
      <c r="R24" s="19">
        <f t="shared" si="29"/>
        <v>9.3263358609287508</v>
      </c>
      <c r="S24" s="19">
        <f t="shared" si="29"/>
        <v>9.4771212547196626</v>
      </c>
      <c r="T24" s="19">
        <f t="shared" si="29"/>
        <v>10.079181246047625</v>
      </c>
      <c r="U24" s="19">
        <f t="shared" si="29"/>
        <v>10.380211241711606</v>
      </c>
      <c r="V24" s="19">
        <f t="shared" si="29"/>
        <v>10.505149978319906</v>
      </c>
      <c r="W24" s="19">
        <f t="shared" si="29"/>
        <v>10.602059991327963</v>
      </c>
      <c r="X24" s="19">
        <f t="shared" si="29"/>
        <v>10.602059991327963</v>
      </c>
      <c r="Y24" s="19">
        <f t="shared" si="29"/>
        <v>10.643452676486188</v>
      </c>
    </row>
    <row r="25" spans="1:25" x14ac:dyDescent="0.2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2">
      <c r="A26" s="2" t="s">
        <v>18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4" t="s">
        <v>17</v>
      </c>
      <c r="I26" s="4" t="s">
        <v>17</v>
      </c>
      <c r="J26" s="4" t="s">
        <v>17</v>
      </c>
      <c r="K26" s="4" t="s">
        <v>17</v>
      </c>
      <c r="L26" s="4" t="s">
        <v>17</v>
      </c>
      <c r="M26" s="4" t="s">
        <v>17</v>
      </c>
      <c r="N26" s="25"/>
      <c r="O26" s="25"/>
      <c r="P26" s="25"/>
      <c r="Q26" s="25"/>
      <c r="R26" s="25"/>
      <c r="S26" s="25"/>
      <c r="T26" s="22"/>
      <c r="U26" s="22"/>
      <c r="V26" s="22"/>
      <c r="W26" s="22"/>
      <c r="X26" s="22"/>
      <c r="Y26" s="22"/>
    </row>
    <row r="27" spans="1:25" x14ac:dyDescent="0.2">
      <c r="A27" s="7" t="s">
        <v>5</v>
      </c>
      <c r="B27" s="8">
        <v>5</v>
      </c>
      <c r="C27" s="8">
        <v>5</v>
      </c>
      <c r="D27" s="8">
        <v>5</v>
      </c>
      <c r="E27" s="8">
        <v>4</v>
      </c>
      <c r="F27" s="8">
        <v>4</v>
      </c>
      <c r="G27" s="8">
        <v>4</v>
      </c>
      <c r="H27" s="8">
        <v>5</v>
      </c>
      <c r="I27" s="8">
        <v>5</v>
      </c>
      <c r="J27" s="8">
        <v>5</v>
      </c>
      <c r="K27" s="8">
        <v>4</v>
      </c>
      <c r="L27" s="8">
        <v>4</v>
      </c>
      <c r="M27" s="8">
        <v>4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x14ac:dyDescent="0.2">
      <c r="A28" s="7" t="s">
        <v>25</v>
      </c>
      <c r="B28" s="8">
        <v>17</v>
      </c>
      <c r="C28" s="8">
        <v>15</v>
      </c>
      <c r="D28" s="8">
        <v>5</v>
      </c>
      <c r="E28" s="8">
        <v>64</v>
      </c>
      <c r="F28" s="8">
        <v>54</v>
      </c>
      <c r="G28" s="8">
        <v>61</v>
      </c>
      <c r="H28" s="8">
        <v>12</v>
      </c>
      <c r="I28" s="8">
        <v>10</v>
      </c>
      <c r="J28" s="8">
        <v>19</v>
      </c>
      <c r="K28" s="8">
        <v>153</v>
      </c>
      <c r="L28" s="8">
        <v>112</v>
      </c>
      <c r="M28" s="8">
        <v>134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x14ac:dyDescent="0.2">
      <c r="A29" s="9" t="s">
        <v>6</v>
      </c>
      <c r="B29" s="10">
        <f>B28*40*POWER(10,B27)*1000</f>
        <v>68000000000</v>
      </c>
      <c r="C29" s="10">
        <f t="shared" ref="C29:M29" si="30">C28*40*POWER(10,C27)*1000</f>
        <v>60000000000</v>
      </c>
      <c r="D29" s="10">
        <f t="shared" si="30"/>
        <v>20000000000</v>
      </c>
      <c r="E29" s="10">
        <f>E28*40*POWER(10,E27)*1000</f>
        <v>25600000000</v>
      </c>
      <c r="F29" s="10">
        <f t="shared" ref="F29:G29" si="31">F28*40*POWER(10,F27)*1000</f>
        <v>21600000000</v>
      </c>
      <c r="G29" s="10">
        <f t="shared" si="31"/>
        <v>24400000000</v>
      </c>
      <c r="H29" s="10">
        <f t="shared" si="30"/>
        <v>48000000000</v>
      </c>
      <c r="I29" s="10">
        <f t="shared" si="30"/>
        <v>40000000000</v>
      </c>
      <c r="J29" s="10">
        <f t="shared" si="30"/>
        <v>76000000000</v>
      </c>
      <c r="K29" s="10">
        <f t="shared" si="30"/>
        <v>61200000000</v>
      </c>
      <c r="L29" s="10">
        <f t="shared" si="30"/>
        <v>44800000000</v>
      </c>
      <c r="M29" s="10">
        <f t="shared" si="30"/>
        <v>53600000000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x14ac:dyDescent="0.2">
      <c r="A30" s="11" t="s">
        <v>7</v>
      </c>
      <c r="B30" s="12">
        <v>3</v>
      </c>
      <c r="C30" s="12">
        <v>3</v>
      </c>
      <c r="D30" s="12">
        <v>3</v>
      </c>
      <c r="E30" s="12">
        <v>4</v>
      </c>
      <c r="F30" s="12">
        <v>4</v>
      </c>
      <c r="G30" s="12">
        <v>4</v>
      </c>
      <c r="H30" s="12">
        <v>4</v>
      </c>
      <c r="I30" s="12">
        <v>4</v>
      </c>
      <c r="J30" s="12">
        <v>4</v>
      </c>
      <c r="K30" s="12">
        <v>5</v>
      </c>
      <c r="L30" s="12">
        <v>5</v>
      </c>
      <c r="M30" s="12">
        <v>5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x14ac:dyDescent="0.2">
      <c r="A31" s="11" t="s">
        <v>19</v>
      </c>
      <c r="B31" s="12">
        <v>70</v>
      </c>
      <c r="C31" s="12">
        <v>149</v>
      </c>
      <c r="D31" s="12">
        <v>113</v>
      </c>
      <c r="E31" s="12">
        <v>30</v>
      </c>
      <c r="F31" s="12">
        <v>24</v>
      </c>
      <c r="G31" s="12">
        <v>57</v>
      </c>
      <c r="H31" s="12">
        <v>23</v>
      </c>
      <c r="I31" s="12">
        <v>37</v>
      </c>
      <c r="J31" s="12">
        <v>12</v>
      </c>
      <c r="K31" s="12">
        <v>13</v>
      </c>
      <c r="L31" s="12">
        <v>20</v>
      </c>
      <c r="M31" s="12">
        <v>15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x14ac:dyDescent="0.2">
      <c r="A32" s="11" t="s">
        <v>6</v>
      </c>
      <c r="B32" s="13">
        <f>B31*40*POWER(10,B30)*1000</f>
        <v>2800000000</v>
      </c>
      <c r="C32" s="13">
        <f t="shared" ref="C32:M32" si="32">C31*40*POWER(10,C30)*1000</f>
        <v>5960000000</v>
      </c>
      <c r="D32" s="13">
        <f t="shared" si="32"/>
        <v>4520000000</v>
      </c>
      <c r="E32" s="13">
        <f>E31*40*POWER(10,E30)*1000</f>
        <v>12000000000</v>
      </c>
      <c r="F32" s="13">
        <f t="shared" ref="F32:G32" si="33">F31*40*POWER(10,F30)*1000</f>
        <v>9600000000</v>
      </c>
      <c r="G32" s="13">
        <f t="shared" si="33"/>
        <v>22800000000</v>
      </c>
      <c r="H32" s="13">
        <f t="shared" si="32"/>
        <v>9200000000</v>
      </c>
      <c r="I32" s="13">
        <f t="shared" si="32"/>
        <v>14800000000</v>
      </c>
      <c r="J32" s="13">
        <f t="shared" si="32"/>
        <v>4800000000</v>
      </c>
      <c r="K32" s="13">
        <f t="shared" si="32"/>
        <v>52000000000</v>
      </c>
      <c r="L32" s="13">
        <f t="shared" si="32"/>
        <v>80000000000</v>
      </c>
      <c r="M32" s="13">
        <f t="shared" si="32"/>
        <v>60000000000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x14ac:dyDescent="0.2">
      <c r="A33" s="14" t="s">
        <v>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14" t="s">
        <v>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17" t="s">
        <v>10</v>
      </c>
      <c r="B35" s="18">
        <f>LOG(B32)</f>
        <v>9.4471580313422194</v>
      </c>
      <c r="C35" s="18">
        <f t="shared" ref="C35:M35" si="34">LOG(C32)</f>
        <v>9.7752462597402356</v>
      </c>
      <c r="D35" s="18">
        <f t="shared" si="34"/>
        <v>9.6551384348113825</v>
      </c>
      <c r="E35" s="18">
        <f>LOG(E32)</f>
        <v>10.079181246047625</v>
      </c>
      <c r="F35" s="18">
        <f t="shared" ref="F35:G35" si="35">LOG(F32)</f>
        <v>9.9822712330395689</v>
      </c>
      <c r="G35" s="18">
        <f t="shared" si="35"/>
        <v>10.357934847000454</v>
      </c>
      <c r="H35" s="18">
        <f t="shared" si="34"/>
        <v>9.9637878273455556</v>
      </c>
      <c r="I35" s="18">
        <f t="shared" si="34"/>
        <v>10.170261715394957</v>
      </c>
      <c r="J35" s="18">
        <f t="shared" si="34"/>
        <v>9.6812412373755876</v>
      </c>
      <c r="K35" s="18">
        <f t="shared" si="34"/>
        <v>10.716003343634799</v>
      </c>
      <c r="L35" s="18">
        <f t="shared" si="34"/>
        <v>10.903089986991944</v>
      </c>
      <c r="M35" s="18">
        <f t="shared" si="34"/>
        <v>10.778151250383644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2">
      <c r="A36" s="17" t="s">
        <v>11</v>
      </c>
      <c r="B36" s="19">
        <f>LOG(B29)</f>
        <v>10.832508912706237</v>
      </c>
      <c r="C36" s="19">
        <f t="shared" ref="C36:M36" si="36">LOG(C29)</f>
        <v>10.778151250383644</v>
      </c>
      <c r="D36" s="19">
        <f t="shared" si="36"/>
        <v>10.301029995663981</v>
      </c>
      <c r="E36" s="19">
        <f>LOG(E29)</f>
        <v>10.40823996531185</v>
      </c>
      <c r="F36" s="19">
        <f t="shared" ref="F36:G36" si="37">LOG(F29)</f>
        <v>10.334453751150932</v>
      </c>
      <c r="G36" s="19">
        <f t="shared" si="37"/>
        <v>10.38738982633873</v>
      </c>
      <c r="H36" s="19">
        <f t="shared" si="36"/>
        <v>10.681241237375588</v>
      </c>
      <c r="I36" s="19">
        <f t="shared" si="36"/>
        <v>10.602059991327963</v>
      </c>
      <c r="J36" s="19">
        <f t="shared" si="36"/>
        <v>10.880813592280791</v>
      </c>
      <c r="K36" s="19">
        <f t="shared" si="36"/>
        <v>10.786751422145562</v>
      </c>
      <c r="L36" s="19">
        <f t="shared" si="36"/>
        <v>10.651278013998144</v>
      </c>
      <c r="M36" s="19">
        <f t="shared" si="36"/>
        <v>10.729164789692771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x14ac:dyDescent="0.2">
      <c r="E37" s="21"/>
      <c r="F37" s="21"/>
      <c r="G37" s="2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512A-3A0F-4034-9F7C-6DF7F26C9FEA}">
  <dimension ref="A1:BI28"/>
  <sheetViews>
    <sheetView zoomScale="79" zoomScaleNormal="86" workbookViewId="0"/>
  </sheetViews>
  <sheetFormatPr defaultRowHeight="16.5" x14ac:dyDescent="0.25"/>
  <cols>
    <col min="1" max="1" width="24.125" customWidth="1"/>
    <col min="2" max="19" width="17.5" bestFit="1" customWidth="1"/>
    <col min="20" max="22" width="19.375" bestFit="1" customWidth="1"/>
    <col min="23" max="25" width="16.25" bestFit="1" customWidth="1"/>
    <col min="26" max="28" width="17.5" bestFit="1" customWidth="1"/>
    <col min="29" max="31" width="9.25" bestFit="1" customWidth="1"/>
    <col min="41" max="41" width="19.625" customWidth="1"/>
    <col min="42" max="42" width="20.75" customWidth="1"/>
    <col min="43" max="43" width="20" customWidth="1"/>
    <col min="44" max="44" width="23.75" customWidth="1"/>
  </cols>
  <sheetData>
    <row r="1" spans="1:61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61" x14ac:dyDescent="0.2">
      <c r="A2" s="2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3" t="s">
        <v>27</v>
      </c>
      <c r="AA2" s="3" t="s">
        <v>27</v>
      </c>
      <c r="AB2" s="3" t="s">
        <v>27</v>
      </c>
      <c r="AC2" s="3" t="s">
        <v>27</v>
      </c>
      <c r="AD2" s="3" t="s">
        <v>27</v>
      </c>
      <c r="AE2" s="3" t="s">
        <v>27</v>
      </c>
      <c r="AF2" s="4" t="s">
        <v>13</v>
      </c>
      <c r="AG2" s="4" t="s">
        <v>13</v>
      </c>
      <c r="AH2" s="4" t="s">
        <v>13</v>
      </c>
      <c r="AI2" s="4" t="s">
        <v>13</v>
      </c>
      <c r="AJ2" s="4" t="s">
        <v>13</v>
      </c>
      <c r="AK2" s="4" t="s">
        <v>13</v>
      </c>
      <c r="AL2" s="5" t="s">
        <v>14</v>
      </c>
      <c r="AM2" s="5" t="s">
        <v>14</v>
      </c>
      <c r="AN2" s="5" t="s">
        <v>14</v>
      </c>
      <c r="AO2" s="5" t="s">
        <v>14</v>
      </c>
      <c r="AP2" s="5" t="s">
        <v>14</v>
      </c>
      <c r="AQ2" s="5" t="s">
        <v>14</v>
      </c>
      <c r="AR2" s="6" t="s">
        <v>15</v>
      </c>
      <c r="AS2" s="6" t="s">
        <v>15</v>
      </c>
      <c r="AT2" s="6" t="s">
        <v>15</v>
      </c>
      <c r="AU2" s="6" t="s">
        <v>15</v>
      </c>
      <c r="AV2" s="6" t="s">
        <v>15</v>
      </c>
      <c r="AW2" s="6" t="s">
        <v>15</v>
      </c>
      <c r="AX2" s="3" t="s">
        <v>16</v>
      </c>
      <c r="AY2" s="3" t="s">
        <v>16</v>
      </c>
      <c r="AZ2" s="3" t="s">
        <v>16</v>
      </c>
      <c r="BA2" s="3" t="s">
        <v>16</v>
      </c>
      <c r="BB2" s="3" t="s">
        <v>16</v>
      </c>
      <c r="BC2" s="3" t="s">
        <v>16</v>
      </c>
      <c r="BD2" s="4" t="s">
        <v>17</v>
      </c>
      <c r="BE2" s="4" t="s">
        <v>17</v>
      </c>
      <c r="BF2" s="4" t="s">
        <v>17</v>
      </c>
      <c r="BG2" s="4" t="s">
        <v>17</v>
      </c>
      <c r="BH2" s="4" t="s">
        <v>17</v>
      </c>
      <c r="BI2" s="4" t="s">
        <v>17</v>
      </c>
    </row>
    <row r="3" spans="1:61" x14ac:dyDescent="0.2">
      <c r="A3" s="7" t="s">
        <v>5</v>
      </c>
      <c r="B3" s="8">
        <v>5</v>
      </c>
      <c r="C3" s="8">
        <v>5</v>
      </c>
      <c r="D3" s="8">
        <v>5</v>
      </c>
      <c r="E3" s="8">
        <v>5</v>
      </c>
      <c r="F3" s="8">
        <v>5</v>
      </c>
      <c r="G3" s="8">
        <v>5</v>
      </c>
      <c r="H3" s="8">
        <v>5</v>
      </c>
      <c r="I3" s="8">
        <v>5</v>
      </c>
      <c r="J3" s="8">
        <v>5</v>
      </c>
      <c r="K3" s="8">
        <v>5</v>
      </c>
      <c r="L3" s="8">
        <v>5</v>
      </c>
      <c r="M3" s="8">
        <v>5</v>
      </c>
      <c r="N3" s="8">
        <v>5</v>
      </c>
      <c r="O3" s="8">
        <v>5</v>
      </c>
      <c r="P3" s="8">
        <v>5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5</v>
      </c>
      <c r="X3" s="8">
        <v>5</v>
      </c>
      <c r="Y3" s="8">
        <v>5</v>
      </c>
      <c r="Z3" s="8">
        <v>5</v>
      </c>
      <c r="AA3" s="8">
        <v>5</v>
      </c>
      <c r="AB3" s="8">
        <v>5</v>
      </c>
      <c r="AC3" s="8">
        <v>5</v>
      </c>
      <c r="AD3" s="8">
        <v>5</v>
      </c>
      <c r="AE3" s="8">
        <v>5</v>
      </c>
      <c r="AF3" s="8">
        <v>5</v>
      </c>
      <c r="AG3" s="8">
        <v>5</v>
      </c>
      <c r="AH3" s="8">
        <v>5</v>
      </c>
      <c r="AI3" s="8">
        <v>5</v>
      </c>
      <c r="AJ3" s="8">
        <v>5</v>
      </c>
      <c r="AK3" s="8">
        <v>5</v>
      </c>
      <c r="AL3" s="8">
        <v>5</v>
      </c>
      <c r="AM3" s="8">
        <v>5</v>
      </c>
      <c r="AN3" s="8">
        <v>5</v>
      </c>
      <c r="AO3" s="8">
        <v>5</v>
      </c>
      <c r="AP3" s="8">
        <v>5</v>
      </c>
      <c r="AQ3" s="8">
        <v>5</v>
      </c>
      <c r="AR3" s="8">
        <v>5</v>
      </c>
      <c r="AS3" s="8">
        <v>5</v>
      </c>
      <c r="AT3" s="8">
        <v>5</v>
      </c>
      <c r="AU3" s="8">
        <v>5</v>
      </c>
      <c r="AV3" s="8">
        <v>5</v>
      </c>
      <c r="AW3" s="8">
        <v>5</v>
      </c>
      <c r="AX3" s="8">
        <v>5</v>
      </c>
      <c r="AY3" s="8">
        <v>5</v>
      </c>
      <c r="AZ3" s="8">
        <v>5</v>
      </c>
      <c r="BA3" s="8">
        <v>5</v>
      </c>
      <c r="BB3" s="8">
        <v>5</v>
      </c>
      <c r="BC3" s="8">
        <v>5</v>
      </c>
      <c r="BD3" s="8">
        <v>5</v>
      </c>
      <c r="BE3" s="8">
        <v>5</v>
      </c>
      <c r="BF3" s="8">
        <v>5</v>
      </c>
      <c r="BG3" s="8">
        <v>5</v>
      </c>
      <c r="BH3" s="8">
        <v>5</v>
      </c>
      <c r="BI3" s="8">
        <v>5</v>
      </c>
    </row>
    <row r="4" spans="1:61" x14ac:dyDescent="0.2">
      <c r="A4" s="7" t="s">
        <v>26</v>
      </c>
      <c r="B4" s="8">
        <v>37</v>
      </c>
      <c r="C4" s="8">
        <v>31</v>
      </c>
      <c r="D4" s="8">
        <v>44</v>
      </c>
      <c r="E4" s="8">
        <v>20</v>
      </c>
      <c r="F4" s="8">
        <v>19</v>
      </c>
      <c r="G4" s="8">
        <v>17</v>
      </c>
      <c r="H4" s="8">
        <v>33</v>
      </c>
      <c r="I4" s="8">
        <v>28</v>
      </c>
      <c r="J4" s="8">
        <v>36</v>
      </c>
      <c r="K4" s="8">
        <v>16</v>
      </c>
      <c r="L4" s="8">
        <v>17</v>
      </c>
      <c r="M4" s="8">
        <v>15</v>
      </c>
      <c r="N4" s="8">
        <v>38</v>
      </c>
      <c r="O4" s="8">
        <v>26</v>
      </c>
      <c r="P4" s="8">
        <v>42</v>
      </c>
      <c r="Q4" s="8">
        <v>13</v>
      </c>
      <c r="R4" s="8">
        <v>20</v>
      </c>
      <c r="S4" s="8">
        <v>15</v>
      </c>
      <c r="T4" s="8">
        <v>44</v>
      </c>
      <c r="U4" s="8">
        <v>24</v>
      </c>
      <c r="V4" s="8">
        <v>31</v>
      </c>
      <c r="W4" s="8">
        <v>11</v>
      </c>
      <c r="X4" s="8">
        <v>19</v>
      </c>
      <c r="Y4" s="8">
        <v>17</v>
      </c>
      <c r="Z4" s="8">
        <v>31</v>
      </c>
      <c r="AA4" s="8">
        <v>22</v>
      </c>
      <c r="AB4" s="8">
        <v>25</v>
      </c>
      <c r="AC4" s="8">
        <v>24</v>
      </c>
      <c r="AD4" s="8">
        <v>35</v>
      </c>
      <c r="AE4" s="8">
        <v>23</v>
      </c>
      <c r="AF4" s="8">
        <v>33</v>
      </c>
      <c r="AG4" s="8">
        <v>44</v>
      </c>
      <c r="AH4" s="8">
        <v>31</v>
      </c>
      <c r="AI4" s="8">
        <v>48</v>
      </c>
      <c r="AJ4" s="8">
        <v>24</v>
      </c>
      <c r="AK4" s="8">
        <v>31</v>
      </c>
      <c r="AL4" s="8">
        <v>27</v>
      </c>
      <c r="AM4" s="8">
        <v>30</v>
      </c>
      <c r="AN4" s="8">
        <v>27</v>
      </c>
      <c r="AO4" s="8">
        <v>23</v>
      </c>
      <c r="AP4" s="8">
        <v>24</v>
      </c>
      <c r="AQ4" s="8">
        <v>29</v>
      </c>
      <c r="AR4" s="8">
        <v>32</v>
      </c>
      <c r="AS4" s="8">
        <v>34</v>
      </c>
      <c r="AT4" s="8">
        <v>24</v>
      </c>
      <c r="AU4" s="8">
        <v>22</v>
      </c>
      <c r="AV4" s="8">
        <v>34</v>
      </c>
      <c r="AW4" s="8">
        <v>24</v>
      </c>
      <c r="AX4" s="8">
        <v>41</v>
      </c>
      <c r="AY4" s="8">
        <v>35</v>
      </c>
      <c r="AZ4" s="8">
        <v>35</v>
      </c>
      <c r="BA4" s="8">
        <v>30</v>
      </c>
      <c r="BB4" s="8">
        <v>27</v>
      </c>
      <c r="BC4" s="8">
        <v>33</v>
      </c>
      <c r="BD4" s="8">
        <v>32</v>
      </c>
      <c r="BE4" s="8">
        <v>24</v>
      </c>
      <c r="BF4" s="8">
        <v>29</v>
      </c>
      <c r="BG4" s="8">
        <v>15</v>
      </c>
      <c r="BH4" s="8">
        <v>23</v>
      </c>
      <c r="BI4" s="8">
        <v>26</v>
      </c>
    </row>
    <row r="5" spans="1:61" x14ac:dyDescent="0.2">
      <c r="A5" s="9" t="s">
        <v>6</v>
      </c>
      <c r="B5" s="10">
        <f>B4*POWER(10,B3)*1000</f>
        <v>3700000000</v>
      </c>
      <c r="C5" s="10">
        <f t="shared" ref="C5:Y5" si="0">C4*POWER(10,C3)*1000</f>
        <v>3100000000</v>
      </c>
      <c r="D5" s="10">
        <f t="shared" si="0"/>
        <v>4400000000</v>
      </c>
      <c r="E5" s="10">
        <f>E4*POWER(10,E3)*1000</f>
        <v>2000000000</v>
      </c>
      <c r="F5" s="10">
        <f t="shared" ref="F5:M5" si="1">F4*POWER(10,F3)*1000</f>
        <v>1900000000</v>
      </c>
      <c r="G5" s="10">
        <f t="shared" si="1"/>
        <v>1700000000</v>
      </c>
      <c r="H5" s="10">
        <f t="shared" si="1"/>
        <v>3300000000</v>
      </c>
      <c r="I5" s="10">
        <f t="shared" si="1"/>
        <v>2800000000</v>
      </c>
      <c r="J5" s="10">
        <f t="shared" si="1"/>
        <v>3600000000</v>
      </c>
      <c r="K5" s="10">
        <f t="shared" si="1"/>
        <v>1600000000</v>
      </c>
      <c r="L5" s="10">
        <f t="shared" si="1"/>
        <v>1700000000</v>
      </c>
      <c r="M5" s="10">
        <f t="shared" si="1"/>
        <v>1500000000</v>
      </c>
      <c r="N5" s="10">
        <f t="shared" si="0"/>
        <v>3800000000</v>
      </c>
      <c r="O5" s="10">
        <f t="shared" si="0"/>
        <v>2600000000</v>
      </c>
      <c r="P5" s="10">
        <f t="shared" si="0"/>
        <v>4200000000</v>
      </c>
      <c r="Q5" s="10">
        <f t="shared" si="0"/>
        <v>1300000000</v>
      </c>
      <c r="R5" s="10">
        <f t="shared" si="0"/>
        <v>2000000000</v>
      </c>
      <c r="S5" s="10">
        <f t="shared" si="0"/>
        <v>1500000000</v>
      </c>
      <c r="T5" s="10">
        <f t="shared" si="0"/>
        <v>4400000000</v>
      </c>
      <c r="U5" s="10">
        <f t="shared" si="0"/>
        <v>2400000000</v>
      </c>
      <c r="V5" s="10">
        <f t="shared" si="0"/>
        <v>3100000000</v>
      </c>
      <c r="W5" s="10">
        <f t="shared" si="0"/>
        <v>1100000000</v>
      </c>
      <c r="X5" s="10">
        <f t="shared" si="0"/>
        <v>1900000000</v>
      </c>
      <c r="Y5" s="10">
        <f t="shared" si="0"/>
        <v>1700000000</v>
      </c>
      <c r="Z5" s="10">
        <f>Z4*POWER(10,Z3)*1000</f>
        <v>3100000000</v>
      </c>
      <c r="AA5" s="10">
        <f t="shared" ref="AA5:AB5" si="2">AA4*POWER(10,AA3)*1000</f>
        <v>2200000000</v>
      </c>
      <c r="AB5" s="10">
        <f t="shared" si="2"/>
        <v>2500000000</v>
      </c>
      <c r="AC5" s="10">
        <f>AC4*POWER(10,AC3)*1000</f>
        <v>2400000000</v>
      </c>
      <c r="AD5" s="10">
        <f t="shared" ref="AD5:AE5" si="3">AD4*POWER(10,AD3)*1000</f>
        <v>3500000000</v>
      </c>
      <c r="AE5" s="10">
        <f t="shared" si="3"/>
        <v>2300000000</v>
      </c>
      <c r="AF5" s="10">
        <f>AF4*POWER(10,AF3)*1000</f>
        <v>3300000000</v>
      </c>
      <c r="AG5" s="10">
        <f>AG4*POWER(10,AG3)*1000</f>
        <v>4400000000</v>
      </c>
      <c r="AH5" s="10">
        <f>AH4*POWER(10,AH3)*1000</f>
        <v>3100000000</v>
      </c>
      <c r="AI5" s="10">
        <f t="shared" ref="AI5:AW5" si="4">AI4*POWER(10,AI3)*1000</f>
        <v>4800000000</v>
      </c>
      <c r="AJ5" s="10">
        <f t="shared" si="4"/>
        <v>2400000000</v>
      </c>
      <c r="AK5" s="10">
        <f t="shared" si="4"/>
        <v>3100000000</v>
      </c>
      <c r="AL5" s="10">
        <f t="shared" si="4"/>
        <v>2700000000</v>
      </c>
      <c r="AM5" s="10">
        <f t="shared" si="4"/>
        <v>3000000000</v>
      </c>
      <c r="AN5" s="10">
        <f t="shared" si="4"/>
        <v>2700000000</v>
      </c>
      <c r="AO5" s="10">
        <f t="shared" si="4"/>
        <v>2300000000</v>
      </c>
      <c r="AP5" s="10">
        <f t="shared" si="4"/>
        <v>2400000000</v>
      </c>
      <c r="AQ5" s="10">
        <f t="shared" si="4"/>
        <v>2900000000</v>
      </c>
      <c r="AR5" s="10">
        <f t="shared" si="4"/>
        <v>3200000000</v>
      </c>
      <c r="AS5" s="10">
        <f t="shared" si="4"/>
        <v>3400000000</v>
      </c>
      <c r="AT5" s="10">
        <f t="shared" si="4"/>
        <v>2400000000</v>
      </c>
      <c r="AU5" s="10">
        <f t="shared" si="4"/>
        <v>2200000000</v>
      </c>
      <c r="AV5" s="10">
        <f t="shared" si="4"/>
        <v>3400000000</v>
      </c>
      <c r="AW5" s="10">
        <f t="shared" si="4"/>
        <v>2400000000</v>
      </c>
      <c r="AX5" s="10">
        <f>AX4*POWER(10,AX3)*1000</f>
        <v>4100000000</v>
      </c>
      <c r="AY5" s="10">
        <f t="shared" ref="AY5:BI5" si="5">AY4*POWER(10,AY3)*1000</f>
        <v>3500000000</v>
      </c>
      <c r="AZ5" s="10">
        <f t="shared" si="5"/>
        <v>3500000000</v>
      </c>
      <c r="BA5" s="10">
        <f>BA4*POWER(10,BA3)*1000</f>
        <v>3000000000</v>
      </c>
      <c r="BB5" s="10">
        <f t="shared" ref="BB5:BC5" si="6">BB4*POWER(10,BB3)*1000</f>
        <v>2700000000</v>
      </c>
      <c r="BC5" s="10">
        <f t="shared" si="6"/>
        <v>3300000000</v>
      </c>
      <c r="BD5" s="10">
        <f t="shared" si="5"/>
        <v>3200000000</v>
      </c>
      <c r="BE5" s="10">
        <f t="shared" si="5"/>
        <v>2400000000</v>
      </c>
      <c r="BF5" s="10">
        <f t="shared" si="5"/>
        <v>2900000000</v>
      </c>
      <c r="BG5" s="10">
        <f t="shared" si="5"/>
        <v>1500000000</v>
      </c>
      <c r="BH5" s="10">
        <f t="shared" si="5"/>
        <v>2300000000</v>
      </c>
      <c r="BI5" s="10">
        <f t="shared" si="5"/>
        <v>2600000000</v>
      </c>
    </row>
    <row r="6" spans="1:61" x14ac:dyDescent="0.2">
      <c r="A6" s="11" t="s">
        <v>7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5</v>
      </c>
      <c r="H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P6" s="12">
        <v>5</v>
      </c>
      <c r="Q6" s="12">
        <v>5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  <c r="X6" s="12">
        <v>5</v>
      </c>
      <c r="Y6" s="12">
        <v>5</v>
      </c>
      <c r="Z6" s="12">
        <v>5</v>
      </c>
      <c r="AA6" s="12">
        <v>5</v>
      </c>
      <c r="AB6" s="12">
        <v>5</v>
      </c>
      <c r="AC6" s="12">
        <v>5</v>
      </c>
      <c r="AD6" s="12">
        <v>5</v>
      </c>
      <c r="AE6" s="12">
        <v>5</v>
      </c>
      <c r="AF6" s="12">
        <v>5</v>
      </c>
      <c r="AG6" s="12">
        <v>5</v>
      </c>
      <c r="AH6" s="12">
        <v>5</v>
      </c>
      <c r="AI6" s="12">
        <v>5</v>
      </c>
      <c r="AJ6" s="12">
        <v>5</v>
      </c>
      <c r="AK6" s="12">
        <v>5</v>
      </c>
      <c r="AL6" s="12">
        <v>5</v>
      </c>
      <c r="AM6" s="12">
        <v>5</v>
      </c>
      <c r="AN6" s="12">
        <v>5</v>
      </c>
      <c r="AO6" s="12">
        <v>5</v>
      </c>
      <c r="AP6" s="12">
        <v>5</v>
      </c>
      <c r="AQ6" s="12">
        <v>5</v>
      </c>
      <c r="AR6" s="12">
        <v>5</v>
      </c>
      <c r="AS6" s="12">
        <v>5</v>
      </c>
      <c r="AT6" s="12">
        <v>5</v>
      </c>
      <c r="AU6" s="12">
        <v>5</v>
      </c>
      <c r="AV6" s="12">
        <v>5</v>
      </c>
      <c r="AW6" s="12">
        <v>5</v>
      </c>
      <c r="AX6" s="12">
        <v>5</v>
      </c>
      <c r="AY6" s="12">
        <v>5</v>
      </c>
      <c r="AZ6" s="12">
        <v>5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12">
        <v>5</v>
      </c>
      <c r="BG6" s="12">
        <v>5</v>
      </c>
      <c r="BH6" s="12">
        <v>5</v>
      </c>
      <c r="BI6" s="12">
        <v>5</v>
      </c>
    </row>
    <row r="7" spans="1:61" x14ac:dyDescent="0.2">
      <c r="A7" s="11" t="s">
        <v>19</v>
      </c>
      <c r="B7" s="12">
        <v>51</v>
      </c>
      <c r="C7" s="12">
        <v>54</v>
      </c>
      <c r="D7" s="12">
        <v>51</v>
      </c>
      <c r="E7" s="12">
        <v>57</v>
      </c>
      <c r="F7" s="12">
        <v>65</v>
      </c>
      <c r="G7" s="12">
        <v>66</v>
      </c>
      <c r="H7" s="12">
        <v>14</v>
      </c>
      <c r="I7" s="12">
        <v>15</v>
      </c>
      <c r="J7" s="12">
        <v>16</v>
      </c>
      <c r="K7" s="12">
        <v>12</v>
      </c>
      <c r="L7" s="12">
        <v>16</v>
      </c>
      <c r="M7" s="12">
        <v>13</v>
      </c>
      <c r="N7" s="12">
        <v>55</v>
      </c>
      <c r="O7" s="12">
        <v>60</v>
      </c>
      <c r="P7" s="12">
        <v>63</v>
      </c>
      <c r="Q7" s="12">
        <v>48</v>
      </c>
      <c r="R7" s="12">
        <v>59</v>
      </c>
      <c r="S7" s="12">
        <v>58</v>
      </c>
      <c r="T7" s="12">
        <v>59</v>
      </c>
      <c r="U7" s="12">
        <v>61</v>
      </c>
      <c r="V7" s="12">
        <v>40</v>
      </c>
      <c r="W7" s="12">
        <v>65</v>
      </c>
      <c r="X7" s="12">
        <v>47</v>
      </c>
      <c r="Y7" s="12">
        <v>50</v>
      </c>
      <c r="Z7" s="12">
        <v>94</v>
      </c>
      <c r="AA7" s="12">
        <v>100</v>
      </c>
      <c r="AB7" s="12">
        <v>82</v>
      </c>
      <c r="AC7" s="12">
        <v>86</v>
      </c>
      <c r="AD7" s="12">
        <v>94</v>
      </c>
      <c r="AE7" s="12">
        <v>90</v>
      </c>
      <c r="AF7" s="12">
        <v>21</v>
      </c>
      <c r="AG7" s="12">
        <v>17</v>
      </c>
      <c r="AH7" s="12">
        <v>22</v>
      </c>
      <c r="AI7" s="12">
        <v>15</v>
      </c>
      <c r="AJ7" s="12">
        <v>18</v>
      </c>
      <c r="AK7" s="12">
        <v>7</v>
      </c>
      <c r="AL7" s="12">
        <v>28</v>
      </c>
      <c r="AM7" s="12">
        <v>30</v>
      </c>
      <c r="AN7" s="12">
        <v>26</v>
      </c>
      <c r="AO7" s="12">
        <v>31</v>
      </c>
      <c r="AP7" s="12">
        <v>20</v>
      </c>
      <c r="AQ7" s="12">
        <v>31</v>
      </c>
      <c r="AR7" s="12">
        <v>32</v>
      </c>
      <c r="AS7" s="12">
        <v>38</v>
      </c>
      <c r="AT7" s="12">
        <v>50</v>
      </c>
      <c r="AU7" s="12">
        <v>33</v>
      </c>
      <c r="AV7" s="12">
        <v>41</v>
      </c>
      <c r="AW7" s="12">
        <v>35</v>
      </c>
      <c r="AX7" s="12">
        <v>74</v>
      </c>
      <c r="AY7" s="12">
        <v>48</v>
      </c>
      <c r="AZ7" s="12">
        <v>39</v>
      </c>
      <c r="BA7" s="12">
        <v>49</v>
      </c>
      <c r="BB7" s="12">
        <v>53</v>
      </c>
      <c r="BC7" s="12">
        <v>52</v>
      </c>
      <c r="BD7" s="12">
        <v>38</v>
      </c>
      <c r="BE7" s="12">
        <v>41</v>
      </c>
      <c r="BF7" s="12">
        <v>37</v>
      </c>
      <c r="BG7" s="12">
        <v>40</v>
      </c>
      <c r="BH7" s="12">
        <v>46</v>
      </c>
      <c r="BI7" s="12">
        <v>52</v>
      </c>
    </row>
    <row r="8" spans="1:61" x14ac:dyDescent="0.2">
      <c r="A8" s="11" t="s">
        <v>6</v>
      </c>
      <c r="B8" s="13">
        <f>B7*POWER(10,B6)*1000</f>
        <v>5100000000</v>
      </c>
      <c r="C8" s="13">
        <f t="shared" ref="C8:N8" si="7">C7*POWER(10,C6)*1000</f>
        <v>5400000000</v>
      </c>
      <c r="D8" s="13">
        <f t="shared" si="7"/>
        <v>5100000000</v>
      </c>
      <c r="E8" s="13">
        <f>E7*POWER(10,E6)*1000</f>
        <v>5700000000</v>
      </c>
      <c r="F8" s="13">
        <f t="shared" ref="F8:M8" si="8">F7*POWER(10,F6)*1000</f>
        <v>6500000000</v>
      </c>
      <c r="G8" s="13">
        <f t="shared" si="8"/>
        <v>6600000000</v>
      </c>
      <c r="H8" s="13">
        <f t="shared" si="8"/>
        <v>1400000000</v>
      </c>
      <c r="I8" s="13">
        <f t="shared" si="8"/>
        <v>1500000000</v>
      </c>
      <c r="J8" s="13">
        <f t="shared" si="8"/>
        <v>1600000000</v>
      </c>
      <c r="K8" s="13">
        <f t="shared" si="8"/>
        <v>1200000000</v>
      </c>
      <c r="L8" s="13">
        <f t="shared" si="8"/>
        <v>1600000000</v>
      </c>
      <c r="M8" s="13">
        <f t="shared" si="8"/>
        <v>1300000000</v>
      </c>
      <c r="N8" s="13">
        <f t="shared" si="7"/>
        <v>5500000000</v>
      </c>
      <c r="O8" s="13">
        <f>O7*POWER(10,O6)*1000</f>
        <v>6000000000</v>
      </c>
      <c r="P8" s="13">
        <f>P7*POWER(10,P6)*1000</f>
        <v>6300000000</v>
      </c>
      <c r="Q8" s="13">
        <f t="shared" ref="Q8" si="9">Q7*POWER(10,Q6)*1000</f>
        <v>4800000000</v>
      </c>
      <c r="R8" s="13">
        <f>R7*POWER(10,R6)*1000</f>
        <v>5900000000</v>
      </c>
      <c r="S8" s="13">
        <f>S7*POWER(10,S6)*1000</f>
        <v>5800000000</v>
      </c>
      <c r="T8" s="13">
        <f>T7*POWER(10,T6)*1000</f>
        <v>5900000000</v>
      </c>
      <c r="U8" s="13">
        <f t="shared" ref="U8:V8" si="10">U7*POWER(10,U6)*1000</f>
        <v>6100000000</v>
      </c>
      <c r="V8" s="13">
        <f t="shared" si="10"/>
        <v>4000000000</v>
      </c>
      <c r="W8" s="13">
        <f>W7*POWER(10,W6)*1000</f>
        <v>6500000000</v>
      </c>
      <c r="X8" s="13">
        <f t="shared" ref="X8:Y8" si="11">X7*POWER(10,X6)*1000</f>
        <v>4700000000</v>
      </c>
      <c r="Y8" s="13">
        <f t="shared" si="11"/>
        <v>5000000000</v>
      </c>
      <c r="Z8" s="13">
        <f>Z7*POWER(10,Z6)*1000</f>
        <v>9400000000</v>
      </c>
      <c r="AA8" s="13">
        <f t="shared" ref="AA8:AB8" si="12">AA7*POWER(10,AA6)*1000</f>
        <v>10000000000</v>
      </c>
      <c r="AB8" s="13">
        <f t="shared" si="12"/>
        <v>8200000000</v>
      </c>
      <c r="AC8" s="13">
        <f>AC7*POWER(10,AC6)*1000</f>
        <v>8600000000</v>
      </c>
      <c r="AD8" s="13">
        <f t="shared" ref="AD8:AE8" si="13">AD7*POWER(10,AD6)*1000</f>
        <v>9400000000</v>
      </c>
      <c r="AE8" s="13">
        <f t="shared" si="13"/>
        <v>9000000000</v>
      </c>
      <c r="AF8" s="13">
        <f>AF7*POWER(10,AF6)*1000</f>
        <v>2100000000</v>
      </c>
      <c r="AG8" s="13">
        <f>AG7*POWER(10,AG6)*1000</f>
        <v>1700000000</v>
      </c>
      <c r="AH8" s="13">
        <f>AH7*POWER(10,AH6)*1000</f>
        <v>2200000000</v>
      </c>
      <c r="AI8" s="13">
        <f t="shared" ref="AI8:AL8" si="14">AI7*POWER(10,AI6)*1000</f>
        <v>1500000000</v>
      </c>
      <c r="AJ8" s="13">
        <f t="shared" si="14"/>
        <v>1800000000</v>
      </c>
      <c r="AK8" s="13">
        <f t="shared" si="14"/>
        <v>700000000</v>
      </c>
      <c r="AL8" s="13">
        <f t="shared" si="14"/>
        <v>2800000000</v>
      </c>
      <c r="AM8" s="13">
        <f>AM7*POWER(10,AM6)*1000</f>
        <v>3000000000</v>
      </c>
      <c r="AN8" s="13">
        <f>AN7*POWER(10,AN6)*1000</f>
        <v>2600000000</v>
      </c>
      <c r="AO8" s="13">
        <f t="shared" ref="AO8" si="15">AO7*POWER(10,AO6)*1000</f>
        <v>3100000000</v>
      </c>
      <c r="AP8" s="13">
        <f>AP7*POWER(10,AP6)*1000</f>
        <v>2000000000</v>
      </c>
      <c r="AQ8" s="13">
        <f>AQ7*POWER(10,AQ6)*1000</f>
        <v>3100000000</v>
      </c>
      <c r="AR8" s="13">
        <f>AR7*POWER(10,AR6)*1000</f>
        <v>3200000000</v>
      </c>
      <c r="AS8" s="13">
        <f t="shared" ref="AS8:AT8" si="16">AS7*POWER(10,AS6)*1000</f>
        <v>3800000000</v>
      </c>
      <c r="AT8" s="13">
        <f t="shared" si="16"/>
        <v>5000000000</v>
      </c>
      <c r="AU8" s="13">
        <f>AU7*POWER(10,AU6)*1000</f>
        <v>3300000000</v>
      </c>
      <c r="AV8" s="13">
        <f t="shared" ref="AV8:AW8" si="17">AV7*POWER(10,AV6)*1000</f>
        <v>4100000000</v>
      </c>
      <c r="AW8" s="13">
        <f t="shared" si="17"/>
        <v>3500000000</v>
      </c>
      <c r="AX8" s="13">
        <f>AX7*POWER(10,AX6)*1000</f>
        <v>7400000000</v>
      </c>
      <c r="AY8" s="13">
        <f t="shared" ref="AY8:BI8" si="18">AY7*POWER(10,AY6)*1000</f>
        <v>4800000000</v>
      </c>
      <c r="AZ8" s="13">
        <f t="shared" si="18"/>
        <v>3900000000</v>
      </c>
      <c r="BA8" s="13">
        <f>BA7*POWER(10,BA6)*1000</f>
        <v>4900000000</v>
      </c>
      <c r="BB8" s="13">
        <f t="shared" ref="BB8:BC8" si="19">BB7*POWER(10,BB6)*1000</f>
        <v>5300000000</v>
      </c>
      <c r="BC8" s="13">
        <f t="shared" si="19"/>
        <v>5200000000</v>
      </c>
      <c r="BD8" s="13">
        <f t="shared" si="18"/>
        <v>3800000000</v>
      </c>
      <c r="BE8" s="13">
        <f t="shared" si="18"/>
        <v>4100000000</v>
      </c>
      <c r="BF8" s="13">
        <f t="shared" si="18"/>
        <v>3700000000</v>
      </c>
      <c r="BG8" s="13">
        <f t="shared" si="18"/>
        <v>4000000000</v>
      </c>
      <c r="BH8" s="13">
        <f t="shared" si="18"/>
        <v>4600000000</v>
      </c>
      <c r="BI8" s="13">
        <f t="shared" si="18"/>
        <v>5200000000</v>
      </c>
    </row>
    <row r="9" spans="1:61" x14ac:dyDescent="0.2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</row>
    <row r="10" spans="1:61" x14ac:dyDescent="0.2">
      <c r="A10" s="14" t="s">
        <v>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61" x14ac:dyDescent="0.2">
      <c r="A11" s="17" t="s">
        <v>10</v>
      </c>
      <c r="B11" s="18">
        <f>LOG(B8)</f>
        <v>9.7075701760979367</v>
      </c>
      <c r="C11" s="18">
        <f t="shared" ref="C11:Y11" si="20">LOG(C8)</f>
        <v>9.7323937598229691</v>
      </c>
      <c r="D11" s="18">
        <f t="shared" si="20"/>
        <v>9.7075701760979367</v>
      </c>
      <c r="E11" s="18">
        <f>LOG(E8)</f>
        <v>9.7558748556724915</v>
      </c>
      <c r="F11" s="18">
        <f t="shared" ref="F11:M11" si="21">LOG(F8)</f>
        <v>9.8129133566428557</v>
      </c>
      <c r="G11" s="18">
        <f t="shared" si="21"/>
        <v>9.8195439355418692</v>
      </c>
      <c r="H11" s="18">
        <f t="shared" si="21"/>
        <v>9.1461280356782382</v>
      </c>
      <c r="I11" s="18">
        <f t="shared" si="21"/>
        <v>9.1760912590556813</v>
      </c>
      <c r="J11" s="18">
        <f t="shared" si="21"/>
        <v>9.204119982655925</v>
      </c>
      <c r="K11" s="18">
        <f t="shared" si="21"/>
        <v>9.0791812460476251</v>
      </c>
      <c r="L11" s="18">
        <f t="shared" si="21"/>
        <v>9.204119982655925</v>
      </c>
      <c r="M11" s="18">
        <f t="shared" si="21"/>
        <v>9.1139433523068369</v>
      </c>
      <c r="N11" s="18">
        <f t="shared" si="20"/>
        <v>9.7403626894942441</v>
      </c>
      <c r="O11" s="18">
        <f t="shared" si="20"/>
        <v>9.7781512503836439</v>
      </c>
      <c r="P11" s="18">
        <f t="shared" si="20"/>
        <v>9.7993405494535821</v>
      </c>
      <c r="Q11" s="18">
        <f t="shared" si="20"/>
        <v>9.6812412373755876</v>
      </c>
      <c r="R11" s="18">
        <f t="shared" si="20"/>
        <v>9.7708520116421447</v>
      </c>
      <c r="S11" s="18">
        <f t="shared" si="20"/>
        <v>9.7634279935629369</v>
      </c>
      <c r="T11" s="18">
        <f t="shared" si="20"/>
        <v>9.7708520116421447</v>
      </c>
      <c r="U11" s="18">
        <f t="shared" si="20"/>
        <v>9.7853298350107671</v>
      </c>
      <c r="V11" s="18">
        <f t="shared" si="20"/>
        <v>9.6020599913279625</v>
      </c>
      <c r="W11" s="18">
        <f t="shared" si="20"/>
        <v>9.8129133566428557</v>
      </c>
      <c r="X11" s="18">
        <f t="shared" si="20"/>
        <v>9.672097857935718</v>
      </c>
      <c r="Y11" s="18">
        <f t="shared" si="20"/>
        <v>9.6989700043360187</v>
      </c>
      <c r="Z11" s="18">
        <f>LOG(Z8)</f>
        <v>9.9731278535996992</v>
      </c>
      <c r="AA11" s="18">
        <f t="shared" ref="AA11:AB11" si="22">LOG(AA8)</f>
        <v>10</v>
      </c>
      <c r="AB11" s="18">
        <f t="shared" si="22"/>
        <v>9.9138138523837167</v>
      </c>
      <c r="AC11" s="18">
        <f>LOG(AC8)</f>
        <v>9.9344984512435683</v>
      </c>
      <c r="AD11" s="18">
        <f t="shared" ref="AD11:AE11" si="23">LOG(AD8)</f>
        <v>9.9731278535996992</v>
      </c>
      <c r="AE11" s="18">
        <f t="shared" si="23"/>
        <v>9.9542425094393252</v>
      </c>
      <c r="AF11" s="18">
        <f>LOG(AF8)</f>
        <v>9.3222192947339195</v>
      </c>
      <c r="AG11" s="18">
        <f>LOG(AG8)</f>
        <v>9.2304489213782741</v>
      </c>
      <c r="AH11" s="18">
        <f>LOG(AH8)</f>
        <v>9.3424226808222066</v>
      </c>
      <c r="AI11" s="18">
        <f t="shared" ref="AI11:AW11" si="24">LOG(AI8)</f>
        <v>9.1760912590556813</v>
      </c>
      <c r="AJ11" s="18">
        <f t="shared" si="24"/>
        <v>9.2552725051033065</v>
      </c>
      <c r="AK11" s="18">
        <f t="shared" si="24"/>
        <v>8.8450980400142569</v>
      </c>
      <c r="AL11" s="18">
        <f t="shared" si="24"/>
        <v>9.4471580313422194</v>
      </c>
      <c r="AM11" s="18">
        <f t="shared" si="24"/>
        <v>9.4771212547196626</v>
      </c>
      <c r="AN11" s="18">
        <f t="shared" si="24"/>
        <v>9.4149733479708182</v>
      </c>
      <c r="AO11" s="18">
        <f t="shared" si="24"/>
        <v>9.4913616938342731</v>
      </c>
      <c r="AP11" s="18">
        <f t="shared" si="24"/>
        <v>9.3010299956639813</v>
      </c>
      <c r="AQ11" s="18">
        <f t="shared" si="24"/>
        <v>9.4913616938342731</v>
      </c>
      <c r="AR11" s="18">
        <f t="shared" si="24"/>
        <v>9.5051499783199063</v>
      </c>
      <c r="AS11" s="18">
        <f t="shared" si="24"/>
        <v>9.5797835966168101</v>
      </c>
      <c r="AT11" s="18">
        <f t="shared" si="24"/>
        <v>9.6989700043360187</v>
      </c>
      <c r="AU11" s="18">
        <f t="shared" si="24"/>
        <v>9.518513939877888</v>
      </c>
      <c r="AV11" s="18">
        <f t="shared" si="24"/>
        <v>9.6127838567197355</v>
      </c>
      <c r="AW11" s="18">
        <f t="shared" si="24"/>
        <v>9.5440680443502757</v>
      </c>
      <c r="AX11" s="18">
        <f>LOG(AX8)</f>
        <v>9.8692317197309762</v>
      </c>
      <c r="AY11" s="18">
        <f t="shared" ref="AY11:BI11" si="25">LOG(AY8)</f>
        <v>9.6812412373755876</v>
      </c>
      <c r="AZ11" s="18">
        <f t="shared" si="25"/>
        <v>9.5910646070264995</v>
      </c>
      <c r="BA11" s="18">
        <f>LOG(BA8)</f>
        <v>9.6901960800285138</v>
      </c>
      <c r="BB11" s="18">
        <f t="shared" ref="BB11:BC11" si="26">LOG(BB8)</f>
        <v>9.7242758696007883</v>
      </c>
      <c r="BC11" s="18">
        <f t="shared" si="26"/>
        <v>9.7160033436347994</v>
      </c>
      <c r="BD11" s="18">
        <f t="shared" si="25"/>
        <v>9.5797835966168101</v>
      </c>
      <c r="BE11" s="18">
        <f t="shared" si="25"/>
        <v>9.6127838567197355</v>
      </c>
      <c r="BF11" s="18">
        <f t="shared" si="25"/>
        <v>9.568201724066995</v>
      </c>
      <c r="BG11" s="18">
        <f t="shared" si="25"/>
        <v>9.6020599913279625</v>
      </c>
      <c r="BH11" s="18">
        <f t="shared" si="25"/>
        <v>9.6627578316815743</v>
      </c>
      <c r="BI11" s="18">
        <f t="shared" si="25"/>
        <v>9.7160033436347994</v>
      </c>
    </row>
    <row r="12" spans="1:61" x14ac:dyDescent="0.2">
      <c r="A12" s="17" t="s">
        <v>11</v>
      </c>
      <c r="B12" s="19">
        <f>LOG(B5)</f>
        <v>9.568201724066995</v>
      </c>
      <c r="C12" s="19">
        <f t="shared" ref="C12:Y12" si="27">LOG(C5)</f>
        <v>9.4913616938342731</v>
      </c>
      <c r="D12" s="19">
        <f t="shared" si="27"/>
        <v>9.6434526764861879</v>
      </c>
      <c r="E12" s="19">
        <f>LOG(E5)</f>
        <v>9.3010299956639813</v>
      </c>
      <c r="F12" s="19">
        <f t="shared" ref="F12:M12" si="28">LOG(F5)</f>
        <v>9.2787536009528289</v>
      </c>
      <c r="G12" s="19">
        <f t="shared" si="28"/>
        <v>9.2304489213782741</v>
      </c>
      <c r="H12" s="19">
        <f t="shared" si="28"/>
        <v>9.518513939877888</v>
      </c>
      <c r="I12" s="19">
        <f t="shared" si="28"/>
        <v>9.4471580313422194</v>
      </c>
      <c r="J12" s="19">
        <f t="shared" si="28"/>
        <v>9.5563025007672877</v>
      </c>
      <c r="K12" s="19">
        <f t="shared" si="28"/>
        <v>9.204119982655925</v>
      </c>
      <c r="L12" s="19">
        <f t="shared" si="28"/>
        <v>9.2304489213782741</v>
      </c>
      <c r="M12" s="19">
        <f t="shared" si="28"/>
        <v>9.1760912590556813</v>
      </c>
      <c r="N12" s="19">
        <f t="shared" si="27"/>
        <v>9.5797835966168101</v>
      </c>
      <c r="O12" s="19">
        <f t="shared" si="27"/>
        <v>9.4149733479708182</v>
      </c>
      <c r="P12" s="19">
        <f t="shared" si="27"/>
        <v>9.6232492903979008</v>
      </c>
      <c r="Q12" s="19">
        <f t="shared" si="27"/>
        <v>9.1139433523068369</v>
      </c>
      <c r="R12" s="19">
        <f t="shared" si="27"/>
        <v>9.3010299956639813</v>
      </c>
      <c r="S12" s="19">
        <f t="shared" si="27"/>
        <v>9.1760912590556813</v>
      </c>
      <c r="T12" s="19">
        <f t="shared" si="27"/>
        <v>9.6434526764861879</v>
      </c>
      <c r="U12" s="19">
        <f t="shared" si="27"/>
        <v>9.3802112417116064</v>
      </c>
      <c r="V12" s="19">
        <f t="shared" si="27"/>
        <v>9.4913616938342731</v>
      </c>
      <c r="W12" s="19">
        <f t="shared" si="27"/>
        <v>9.0413926851582254</v>
      </c>
      <c r="X12" s="19">
        <f t="shared" si="27"/>
        <v>9.2787536009528289</v>
      </c>
      <c r="Y12" s="19">
        <f t="shared" si="27"/>
        <v>9.2304489213782741</v>
      </c>
      <c r="Z12" s="19">
        <f>LOG(Z5)</f>
        <v>9.4913616938342731</v>
      </c>
      <c r="AA12" s="19">
        <f t="shared" ref="AA12:AB12" si="29">LOG(AA5)</f>
        <v>9.3424226808222066</v>
      </c>
      <c r="AB12" s="19">
        <f t="shared" si="29"/>
        <v>9.3979400086720375</v>
      </c>
      <c r="AC12" s="19">
        <f>LOG(AC5)</f>
        <v>9.3802112417116064</v>
      </c>
      <c r="AD12" s="19">
        <f t="shared" ref="AD12:AE12" si="30">LOG(AD5)</f>
        <v>9.5440680443502757</v>
      </c>
      <c r="AE12" s="19">
        <f t="shared" si="30"/>
        <v>9.3617278360175931</v>
      </c>
      <c r="AF12" s="19">
        <f>LOG(AF5)</f>
        <v>9.518513939877888</v>
      </c>
      <c r="AG12" s="19">
        <f>LOG(AG5)</f>
        <v>9.6434526764861879</v>
      </c>
      <c r="AH12" s="19">
        <f>LOG(AH5)</f>
        <v>9.4913616938342731</v>
      </c>
      <c r="AI12" s="19">
        <f t="shared" ref="AI12:AW12" si="31">LOG(AI5)</f>
        <v>9.6812412373755876</v>
      </c>
      <c r="AJ12" s="19">
        <f t="shared" si="31"/>
        <v>9.3802112417116064</v>
      </c>
      <c r="AK12" s="19">
        <f t="shared" si="31"/>
        <v>9.4913616938342731</v>
      </c>
      <c r="AL12" s="19">
        <f t="shared" si="31"/>
        <v>9.4313637641589878</v>
      </c>
      <c r="AM12" s="19">
        <f t="shared" si="31"/>
        <v>9.4771212547196626</v>
      </c>
      <c r="AN12" s="19">
        <f t="shared" si="31"/>
        <v>9.4313637641589878</v>
      </c>
      <c r="AO12" s="19">
        <f t="shared" si="31"/>
        <v>9.3617278360175931</v>
      </c>
      <c r="AP12" s="19">
        <f t="shared" si="31"/>
        <v>9.3802112417116064</v>
      </c>
      <c r="AQ12" s="19">
        <f t="shared" si="31"/>
        <v>9.4623979978989556</v>
      </c>
      <c r="AR12" s="19">
        <f t="shared" si="31"/>
        <v>9.5051499783199063</v>
      </c>
      <c r="AS12" s="19">
        <f t="shared" si="31"/>
        <v>9.5314789170422554</v>
      </c>
      <c r="AT12" s="19">
        <f t="shared" si="31"/>
        <v>9.3802112417116064</v>
      </c>
      <c r="AU12" s="19">
        <f t="shared" si="31"/>
        <v>9.3424226808222066</v>
      </c>
      <c r="AV12" s="19">
        <f t="shared" si="31"/>
        <v>9.5314789170422554</v>
      </c>
      <c r="AW12" s="19">
        <f t="shared" si="31"/>
        <v>9.3802112417116064</v>
      </c>
      <c r="AX12" s="19">
        <f>LOG(AX5)</f>
        <v>9.6127838567197355</v>
      </c>
      <c r="AY12" s="19">
        <f t="shared" ref="AY12:BI12" si="32">LOG(AY5)</f>
        <v>9.5440680443502757</v>
      </c>
      <c r="AZ12" s="19">
        <f t="shared" si="32"/>
        <v>9.5440680443502757</v>
      </c>
      <c r="BA12" s="19">
        <f>LOG(BA5)</f>
        <v>9.4771212547196626</v>
      </c>
      <c r="BB12" s="19">
        <f t="shared" ref="BB12:BC12" si="33">LOG(BB5)</f>
        <v>9.4313637641589878</v>
      </c>
      <c r="BC12" s="19">
        <f t="shared" si="33"/>
        <v>9.518513939877888</v>
      </c>
      <c r="BD12" s="19">
        <f t="shared" si="32"/>
        <v>9.5051499783199063</v>
      </c>
      <c r="BE12" s="19">
        <f t="shared" si="32"/>
        <v>9.3802112417116064</v>
      </c>
      <c r="BF12" s="19">
        <f t="shared" si="32"/>
        <v>9.4623979978989556</v>
      </c>
      <c r="BG12" s="19">
        <f t="shared" si="32"/>
        <v>9.1760912590556813</v>
      </c>
      <c r="BH12" s="19">
        <f t="shared" si="32"/>
        <v>9.3617278360175931</v>
      </c>
      <c r="BI12" s="19">
        <f t="shared" si="32"/>
        <v>9.4149733479708182</v>
      </c>
    </row>
    <row r="13" spans="1:61" x14ac:dyDescent="0.2">
      <c r="A13" s="2" t="s">
        <v>18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6" t="s">
        <v>4</v>
      </c>
      <c r="U13" s="6" t="s">
        <v>4</v>
      </c>
      <c r="V13" s="6" t="s">
        <v>4</v>
      </c>
      <c r="W13" s="6" t="s">
        <v>4</v>
      </c>
      <c r="X13" s="6" t="s">
        <v>4</v>
      </c>
      <c r="Y13" s="6" t="s">
        <v>4</v>
      </c>
      <c r="Z13" s="3" t="s">
        <v>12</v>
      </c>
      <c r="AA13" s="3" t="s">
        <v>12</v>
      </c>
      <c r="AB13" s="3" t="s">
        <v>12</v>
      </c>
      <c r="AC13" s="3" t="s">
        <v>12</v>
      </c>
      <c r="AD13" s="3" t="s">
        <v>12</v>
      </c>
      <c r="AE13" s="3" t="s">
        <v>12</v>
      </c>
      <c r="AF13" s="4" t="s">
        <v>13</v>
      </c>
      <c r="AG13" s="4" t="s">
        <v>13</v>
      </c>
      <c r="AH13" s="4" t="s">
        <v>13</v>
      </c>
      <c r="AI13" s="4" t="s">
        <v>13</v>
      </c>
      <c r="AJ13" s="4" t="s">
        <v>13</v>
      </c>
      <c r="AK13" s="4" t="s">
        <v>13</v>
      </c>
      <c r="AL13" s="5" t="s">
        <v>14</v>
      </c>
      <c r="AM13" s="5" t="s">
        <v>14</v>
      </c>
      <c r="AN13" s="5" t="s">
        <v>14</v>
      </c>
      <c r="AO13" s="5" t="s">
        <v>14</v>
      </c>
      <c r="AP13" s="5" t="s">
        <v>14</v>
      </c>
      <c r="AQ13" s="5" t="s">
        <v>14</v>
      </c>
      <c r="AR13" s="6" t="s">
        <v>15</v>
      </c>
      <c r="AS13" s="6" t="s">
        <v>15</v>
      </c>
      <c r="AT13" s="6" t="s">
        <v>15</v>
      </c>
      <c r="AU13" s="6" t="s">
        <v>15</v>
      </c>
      <c r="AV13" s="6" t="s">
        <v>15</v>
      </c>
      <c r="AW13" s="6" t="s">
        <v>15</v>
      </c>
      <c r="AX13" s="3" t="s">
        <v>16</v>
      </c>
      <c r="AY13" s="3" t="s">
        <v>16</v>
      </c>
      <c r="AZ13" s="3" t="s">
        <v>16</v>
      </c>
      <c r="BA13" s="3" t="s">
        <v>16</v>
      </c>
      <c r="BB13" s="3" t="s">
        <v>16</v>
      </c>
      <c r="BC13" s="3" t="s">
        <v>16</v>
      </c>
      <c r="BD13" s="4" t="s">
        <v>17</v>
      </c>
      <c r="BE13" s="4" t="s">
        <v>17</v>
      </c>
      <c r="BF13" s="4" t="s">
        <v>17</v>
      </c>
      <c r="BG13" s="4" t="s">
        <v>17</v>
      </c>
      <c r="BH13" s="4" t="s">
        <v>17</v>
      </c>
      <c r="BI13" s="4" t="s">
        <v>17</v>
      </c>
    </row>
    <row r="14" spans="1:61" x14ac:dyDescent="0.2">
      <c r="A14" s="7" t="s">
        <v>5</v>
      </c>
      <c r="B14" s="8">
        <v>5</v>
      </c>
      <c r="C14" s="8">
        <v>5</v>
      </c>
      <c r="D14" s="8">
        <v>5</v>
      </c>
      <c r="E14" s="8">
        <v>5</v>
      </c>
      <c r="F14" s="8">
        <v>5</v>
      </c>
      <c r="G14" s="8">
        <v>5</v>
      </c>
      <c r="H14" s="8">
        <v>4</v>
      </c>
      <c r="I14" s="8">
        <v>4</v>
      </c>
      <c r="J14" s="8">
        <v>4</v>
      </c>
      <c r="K14" s="8">
        <v>5</v>
      </c>
      <c r="L14" s="8">
        <v>5</v>
      </c>
      <c r="M14" s="8">
        <v>5</v>
      </c>
      <c r="N14" s="8">
        <v>6</v>
      </c>
      <c r="O14" s="8">
        <v>6</v>
      </c>
      <c r="P14" s="8">
        <v>6</v>
      </c>
      <c r="Q14" s="8">
        <v>5</v>
      </c>
      <c r="R14" s="8">
        <v>5</v>
      </c>
      <c r="S14" s="8">
        <v>5</v>
      </c>
      <c r="T14" s="8">
        <v>5</v>
      </c>
      <c r="U14" s="8">
        <v>5</v>
      </c>
      <c r="V14" s="8">
        <v>5</v>
      </c>
      <c r="W14" s="8">
        <v>4</v>
      </c>
      <c r="X14" s="8">
        <v>4</v>
      </c>
      <c r="Y14" s="8">
        <v>4</v>
      </c>
      <c r="Z14" s="8">
        <v>5</v>
      </c>
      <c r="AA14" s="8">
        <v>5</v>
      </c>
      <c r="AB14" s="8">
        <v>5</v>
      </c>
      <c r="AC14" s="8">
        <v>5</v>
      </c>
      <c r="AD14" s="8">
        <v>5</v>
      </c>
      <c r="AE14" s="8">
        <v>5</v>
      </c>
      <c r="AF14" s="8">
        <v>5</v>
      </c>
      <c r="AG14" s="8">
        <v>5</v>
      </c>
      <c r="AH14" s="8">
        <v>5</v>
      </c>
      <c r="AI14" s="8">
        <v>5</v>
      </c>
      <c r="AJ14" s="8">
        <v>5</v>
      </c>
      <c r="AK14" s="8">
        <v>5</v>
      </c>
      <c r="AL14" s="8">
        <v>4</v>
      </c>
      <c r="AM14" s="8">
        <v>4</v>
      </c>
      <c r="AN14" s="8">
        <v>4</v>
      </c>
      <c r="AO14" s="8">
        <v>3</v>
      </c>
      <c r="AP14" s="8">
        <v>3</v>
      </c>
      <c r="AQ14" s="8">
        <v>3</v>
      </c>
      <c r="AR14" s="8">
        <v>5</v>
      </c>
      <c r="AS14" s="8">
        <v>5</v>
      </c>
      <c r="AT14" s="8">
        <v>5</v>
      </c>
      <c r="AU14" s="8">
        <v>4</v>
      </c>
      <c r="AV14" s="8">
        <v>4</v>
      </c>
      <c r="AW14" s="8">
        <v>4</v>
      </c>
      <c r="AX14" s="8">
        <v>5</v>
      </c>
      <c r="AY14" s="8">
        <v>5</v>
      </c>
      <c r="AZ14" s="8">
        <v>5</v>
      </c>
      <c r="BA14" s="8">
        <v>4</v>
      </c>
      <c r="BB14" s="8">
        <v>4</v>
      </c>
      <c r="BC14" s="8">
        <v>4</v>
      </c>
      <c r="BD14" s="8">
        <v>5</v>
      </c>
      <c r="BE14" s="8">
        <v>5</v>
      </c>
      <c r="BF14" s="8">
        <v>5</v>
      </c>
      <c r="BG14" s="8">
        <v>4</v>
      </c>
      <c r="BH14" s="8">
        <v>4</v>
      </c>
      <c r="BI14" s="8">
        <v>4</v>
      </c>
    </row>
    <row r="15" spans="1:61" x14ac:dyDescent="0.2">
      <c r="A15" s="7" t="s">
        <v>26</v>
      </c>
      <c r="B15" s="8">
        <v>22</v>
      </c>
      <c r="C15" s="8">
        <v>20</v>
      </c>
      <c r="D15" s="8">
        <v>24</v>
      </c>
      <c r="E15" s="8">
        <v>71</v>
      </c>
      <c r="F15" s="8">
        <v>49</v>
      </c>
      <c r="G15" s="8">
        <v>63</v>
      </c>
      <c r="H15" s="8">
        <v>31</v>
      </c>
      <c r="I15" s="8">
        <v>11</v>
      </c>
      <c r="J15" s="8">
        <v>16</v>
      </c>
      <c r="K15" s="8">
        <v>88</v>
      </c>
      <c r="L15" s="8">
        <v>82</v>
      </c>
      <c r="M15" s="8">
        <v>102</v>
      </c>
      <c r="N15" s="8">
        <v>14</v>
      </c>
      <c r="O15" s="8">
        <v>7</v>
      </c>
      <c r="P15" s="8">
        <v>12</v>
      </c>
      <c r="Q15" s="8">
        <v>93</v>
      </c>
      <c r="R15" s="8">
        <v>93</v>
      </c>
      <c r="S15" s="8">
        <v>76</v>
      </c>
      <c r="T15" s="8">
        <v>9</v>
      </c>
      <c r="U15" s="8">
        <v>13</v>
      </c>
      <c r="V15" s="8">
        <v>8</v>
      </c>
      <c r="W15" s="8">
        <v>121</v>
      </c>
      <c r="X15" s="8">
        <v>118</v>
      </c>
      <c r="Y15" s="8">
        <v>129</v>
      </c>
      <c r="Z15" s="8">
        <v>31</v>
      </c>
      <c r="AA15" s="8">
        <v>51</v>
      </c>
      <c r="AB15" s="8">
        <v>21</v>
      </c>
      <c r="AC15" s="8">
        <v>70</v>
      </c>
      <c r="AD15" s="8">
        <v>85</v>
      </c>
      <c r="AE15" s="8">
        <v>71</v>
      </c>
      <c r="AF15" s="8">
        <v>10</v>
      </c>
      <c r="AG15" s="8">
        <v>8</v>
      </c>
      <c r="AH15" s="8">
        <v>12</v>
      </c>
      <c r="AI15" s="8">
        <v>24</v>
      </c>
      <c r="AJ15" s="8">
        <v>15</v>
      </c>
      <c r="AK15" s="8">
        <v>11</v>
      </c>
      <c r="AL15" s="8">
        <v>14</v>
      </c>
      <c r="AM15" s="8">
        <v>7</v>
      </c>
      <c r="AN15" s="8">
        <v>9</v>
      </c>
      <c r="AO15" s="8">
        <v>76</v>
      </c>
      <c r="AP15" s="8">
        <v>53</v>
      </c>
      <c r="AQ15" s="8">
        <v>75</v>
      </c>
      <c r="AR15" s="8">
        <v>3</v>
      </c>
      <c r="AS15" s="8">
        <v>6</v>
      </c>
      <c r="AT15" s="8">
        <v>8</v>
      </c>
      <c r="AU15" s="8">
        <v>100</v>
      </c>
      <c r="AV15" s="8">
        <v>100</v>
      </c>
      <c r="AW15" s="8">
        <v>110</v>
      </c>
      <c r="AX15" s="8">
        <v>17</v>
      </c>
      <c r="AY15" s="8">
        <v>15</v>
      </c>
      <c r="AZ15" s="8">
        <v>5</v>
      </c>
      <c r="BA15" s="8">
        <v>64</v>
      </c>
      <c r="BB15" s="8">
        <v>54</v>
      </c>
      <c r="BC15" s="8">
        <v>61</v>
      </c>
      <c r="BD15" s="8">
        <v>12</v>
      </c>
      <c r="BE15" s="8">
        <v>10</v>
      </c>
      <c r="BF15" s="8">
        <v>19</v>
      </c>
      <c r="BG15" s="8">
        <v>153</v>
      </c>
      <c r="BH15" s="8">
        <v>112</v>
      </c>
      <c r="BI15" s="8">
        <v>134</v>
      </c>
    </row>
    <row r="16" spans="1:61" x14ac:dyDescent="0.2">
      <c r="A16" s="9" t="s">
        <v>6</v>
      </c>
      <c r="B16" s="10">
        <f>B15*40*POWER(10,B14)*1000</f>
        <v>88000000000</v>
      </c>
      <c r="C16" s="10">
        <f t="shared" ref="C16:AW16" si="34">C15*40*POWER(10,C14)*1000</f>
        <v>80000000000</v>
      </c>
      <c r="D16" s="10">
        <f t="shared" si="34"/>
        <v>96000000000</v>
      </c>
      <c r="E16" s="10">
        <f>E15*40*POWER(10,E14)*1000</f>
        <v>284000000000</v>
      </c>
      <c r="F16" s="10">
        <f t="shared" ref="F16:G16" si="35">F15*40*POWER(10,F14)*1000</f>
        <v>196000000000</v>
      </c>
      <c r="G16" s="10">
        <f t="shared" si="35"/>
        <v>252000000000</v>
      </c>
      <c r="H16" s="10">
        <f>H15*40*POWER(10,H14)*1000</f>
        <v>12400000000</v>
      </c>
      <c r="I16" s="10">
        <f t="shared" ref="I16:J16" si="36">I15*40*POWER(10,I14)*1000</f>
        <v>4400000000</v>
      </c>
      <c r="J16" s="10">
        <f t="shared" si="36"/>
        <v>6400000000</v>
      </c>
      <c r="K16" s="10">
        <f>K15*40*POWER(10,K14)*1000</f>
        <v>352000000000</v>
      </c>
      <c r="L16" s="10">
        <f t="shared" ref="L16:M16" si="37">L15*40*POWER(10,L14)*1000</f>
        <v>328000000000</v>
      </c>
      <c r="M16" s="10">
        <f t="shared" si="37"/>
        <v>408000000000</v>
      </c>
      <c r="N16" s="10">
        <f t="shared" si="34"/>
        <v>560000000000</v>
      </c>
      <c r="O16" s="10">
        <f t="shared" si="34"/>
        <v>280000000000</v>
      </c>
      <c r="P16" s="10">
        <f t="shared" si="34"/>
        <v>480000000000</v>
      </c>
      <c r="Q16" s="10">
        <f t="shared" si="34"/>
        <v>372000000000</v>
      </c>
      <c r="R16" s="10">
        <f t="shared" si="34"/>
        <v>372000000000</v>
      </c>
      <c r="S16" s="10">
        <f t="shared" si="34"/>
        <v>304000000000</v>
      </c>
      <c r="T16" s="10">
        <f t="shared" si="34"/>
        <v>36000000000</v>
      </c>
      <c r="U16" s="10">
        <f t="shared" si="34"/>
        <v>52000000000</v>
      </c>
      <c r="V16" s="10">
        <f t="shared" si="34"/>
        <v>32000000000</v>
      </c>
      <c r="W16" s="10">
        <f t="shared" si="34"/>
        <v>48400000000</v>
      </c>
      <c r="X16" s="10">
        <f t="shared" si="34"/>
        <v>47200000000</v>
      </c>
      <c r="Y16" s="10">
        <f t="shared" si="34"/>
        <v>51600000000</v>
      </c>
      <c r="Z16" s="10">
        <f t="shared" si="34"/>
        <v>124000000000</v>
      </c>
      <c r="AA16" s="10">
        <f t="shared" si="34"/>
        <v>204000000000</v>
      </c>
      <c r="AB16" s="10">
        <f t="shared" si="34"/>
        <v>84000000000</v>
      </c>
      <c r="AC16" s="10">
        <f t="shared" si="34"/>
        <v>280000000000</v>
      </c>
      <c r="AD16" s="10">
        <f t="shared" si="34"/>
        <v>340000000000</v>
      </c>
      <c r="AE16" s="10">
        <f t="shared" si="34"/>
        <v>284000000000</v>
      </c>
      <c r="AF16" s="10">
        <f t="shared" si="34"/>
        <v>40000000000</v>
      </c>
      <c r="AG16" s="10">
        <f t="shared" si="34"/>
        <v>32000000000</v>
      </c>
      <c r="AH16" s="10">
        <f t="shared" si="34"/>
        <v>48000000000</v>
      </c>
      <c r="AI16" s="10">
        <f t="shared" si="34"/>
        <v>96000000000</v>
      </c>
      <c r="AJ16" s="10">
        <f t="shared" si="34"/>
        <v>60000000000</v>
      </c>
      <c r="AK16" s="10">
        <f t="shared" si="34"/>
        <v>44000000000</v>
      </c>
      <c r="AL16" s="10">
        <f t="shared" si="34"/>
        <v>5600000000</v>
      </c>
      <c r="AM16" s="10">
        <f t="shared" si="34"/>
        <v>2800000000</v>
      </c>
      <c r="AN16" s="10">
        <f t="shared" si="34"/>
        <v>3600000000</v>
      </c>
      <c r="AO16" s="10">
        <f t="shared" si="34"/>
        <v>3040000000</v>
      </c>
      <c r="AP16" s="10">
        <f t="shared" si="34"/>
        <v>2120000000</v>
      </c>
      <c r="AQ16" s="10">
        <f t="shared" si="34"/>
        <v>3000000000</v>
      </c>
      <c r="AR16" s="10">
        <f t="shared" si="34"/>
        <v>12000000000</v>
      </c>
      <c r="AS16" s="10">
        <f t="shared" si="34"/>
        <v>24000000000</v>
      </c>
      <c r="AT16" s="10">
        <f t="shared" si="34"/>
        <v>32000000000</v>
      </c>
      <c r="AU16" s="10">
        <f t="shared" si="34"/>
        <v>40000000000</v>
      </c>
      <c r="AV16" s="10">
        <f t="shared" si="34"/>
        <v>40000000000</v>
      </c>
      <c r="AW16" s="10">
        <f t="shared" si="34"/>
        <v>44000000000</v>
      </c>
      <c r="AX16" s="10">
        <f>AX15*40*POWER(10,AX14)*1000</f>
        <v>68000000000</v>
      </c>
      <c r="AY16" s="10">
        <f t="shared" ref="AY16:BI16" si="38">AY15*40*POWER(10,AY14)*1000</f>
        <v>60000000000</v>
      </c>
      <c r="AZ16" s="10">
        <f t="shared" si="38"/>
        <v>20000000000</v>
      </c>
      <c r="BA16" s="10">
        <f>BA15*40*POWER(10,BA14)*1000</f>
        <v>25600000000</v>
      </c>
      <c r="BB16" s="10">
        <f t="shared" ref="BB16:BC16" si="39">BB15*40*POWER(10,BB14)*1000</f>
        <v>21600000000</v>
      </c>
      <c r="BC16" s="10">
        <f t="shared" si="39"/>
        <v>24400000000</v>
      </c>
      <c r="BD16" s="10">
        <f t="shared" si="38"/>
        <v>48000000000</v>
      </c>
      <c r="BE16" s="10">
        <f t="shared" si="38"/>
        <v>40000000000</v>
      </c>
      <c r="BF16" s="10">
        <f t="shared" si="38"/>
        <v>76000000000</v>
      </c>
      <c r="BG16" s="10">
        <f t="shared" si="38"/>
        <v>61200000000</v>
      </c>
      <c r="BH16" s="10">
        <f t="shared" si="38"/>
        <v>44800000000</v>
      </c>
      <c r="BI16" s="10">
        <f t="shared" si="38"/>
        <v>53600000000</v>
      </c>
    </row>
    <row r="17" spans="1:61" x14ac:dyDescent="0.2">
      <c r="A17" s="11" t="s">
        <v>7</v>
      </c>
      <c r="B17" s="12">
        <v>6</v>
      </c>
      <c r="C17" s="12">
        <v>6</v>
      </c>
      <c r="D17" s="12">
        <v>6</v>
      </c>
      <c r="E17" s="12">
        <v>5</v>
      </c>
      <c r="F17" s="12">
        <v>5</v>
      </c>
      <c r="G17" s="12">
        <v>5</v>
      </c>
      <c r="H17" s="12">
        <v>5</v>
      </c>
      <c r="I17" s="12">
        <v>5</v>
      </c>
      <c r="J17" s="12">
        <v>5</v>
      </c>
      <c r="K17" s="12">
        <v>5</v>
      </c>
      <c r="L17" s="12">
        <v>5</v>
      </c>
      <c r="M17" s="12">
        <v>5</v>
      </c>
      <c r="N17" s="12">
        <v>4</v>
      </c>
      <c r="O17" s="12">
        <v>4</v>
      </c>
      <c r="P17" s="12">
        <v>4</v>
      </c>
      <c r="Q17" s="12">
        <v>3</v>
      </c>
      <c r="R17" s="12">
        <v>3</v>
      </c>
      <c r="S17" s="12">
        <v>3</v>
      </c>
      <c r="T17" s="12">
        <v>6</v>
      </c>
      <c r="U17" s="12">
        <v>6</v>
      </c>
      <c r="V17" s="12">
        <v>6</v>
      </c>
      <c r="W17" s="12">
        <v>4</v>
      </c>
      <c r="X17" s="12">
        <v>4</v>
      </c>
      <c r="Y17" s="12">
        <v>4</v>
      </c>
      <c r="Z17" s="12">
        <v>5</v>
      </c>
      <c r="AA17" s="12">
        <v>5</v>
      </c>
      <c r="AB17" s="12">
        <v>5</v>
      </c>
      <c r="AC17" s="12">
        <v>5</v>
      </c>
      <c r="AD17" s="12">
        <v>5</v>
      </c>
      <c r="AE17" s="12">
        <v>5</v>
      </c>
      <c r="AF17" s="12">
        <v>2</v>
      </c>
      <c r="AG17" s="12">
        <v>2</v>
      </c>
      <c r="AH17" s="12">
        <v>2</v>
      </c>
      <c r="AI17" s="12">
        <v>2</v>
      </c>
      <c r="AJ17" s="12">
        <v>2</v>
      </c>
      <c r="AK17" s="12">
        <v>2</v>
      </c>
      <c r="AL17" s="12">
        <v>6</v>
      </c>
      <c r="AM17" s="12">
        <v>6</v>
      </c>
      <c r="AN17" s="12">
        <v>6</v>
      </c>
      <c r="AO17" s="12">
        <v>5</v>
      </c>
      <c r="AP17" s="12">
        <v>5</v>
      </c>
      <c r="AQ17" s="12">
        <v>5</v>
      </c>
      <c r="AR17" s="12">
        <v>4</v>
      </c>
      <c r="AS17" s="12">
        <v>4</v>
      </c>
      <c r="AT17" s="12">
        <v>4</v>
      </c>
      <c r="AU17" s="12">
        <v>4</v>
      </c>
      <c r="AV17" s="12">
        <v>4</v>
      </c>
      <c r="AW17" s="12">
        <v>4</v>
      </c>
      <c r="AX17" s="12">
        <v>3</v>
      </c>
      <c r="AY17" s="12">
        <v>3</v>
      </c>
      <c r="AZ17" s="12">
        <v>3</v>
      </c>
      <c r="BA17" s="12">
        <v>4</v>
      </c>
      <c r="BB17" s="12">
        <v>4</v>
      </c>
      <c r="BC17" s="12">
        <v>4</v>
      </c>
      <c r="BD17" s="12">
        <v>4</v>
      </c>
      <c r="BE17" s="12">
        <v>4</v>
      </c>
      <c r="BF17" s="12">
        <v>4</v>
      </c>
      <c r="BG17" s="12">
        <v>5</v>
      </c>
      <c r="BH17" s="12">
        <v>5</v>
      </c>
      <c r="BI17" s="12">
        <v>5</v>
      </c>
    </row>
    <row r="18" spans="1:61" x14ac:dyDescent="0.2">
      <c r="A18" s="11" t="s">
        <v>19</v>
      </c>
      <c r="B18" s="12">
        <v>17</v>
      </c>
      <c r="C18" s="12">
        <v>19</v>
      </c>
      <c r="D18" s="12">
        <v>20</v>
      </c>
      <c r="E18" s="12">
        <v>152</v>
      </c>
      <c r="F18" s="12">
        <v>137</v>
      </c>
      <c r="G18" s="12">
        <v>103</v>
      </c>
      <c r="H18" s="12">
        <v>58</v>
      </c>
      <c r="I18" s="12">
        <v>31</v>
      </c>
      <c r="J18" s="12">
        <v>43</v>
      </c>
      <c r="K18" s="12">
        <v>18</v>
      </c>
      <c r="L18" s="12">
        <v>19</v>
      </c>
      <c r="M18" s="12">
        <v>18</v>
      </c>
      <c r="N18" s="12">
        <v>36</v>
      </c>
      <c r="O18" s="12">
        <v>30</v>
      </c>
      <c r="P18" s="12">
        <v>48</v>
      </c>
      <c r="Q18" s="12">
        <v>130</v>
      </c>
      <c r="R18" s="12">
        <v>143</v>
      </c>
      <c r="S18" s="12">
        <v>111</v>
      </c>
      <c r="T18" s="12">
        <v>37</v>
      </c>
      <c r="U18" s="12">
        <v>27</v>
      </c>
      <c r="V18" s="12">
        <v>28</v>
      </c>
      <c r="W18" s="12">
        <v>108</v>
      </c>
      <c r="X18" s="12">
        <v>87</v>
      </c>
      <c r="Y18" s="12">
        <v>28</v>
      </c>
      <c r="Z18" s="12">
        <v>26</v>
      </c>
      <c r="AA18" s="12">
        <v>34</v>
      </c>
      <c r="AB18" s="12">
        <v>32</v>
      </c>
      <c r="AC18" s="12">
        <v>31</v>
      </c>
      <c r="AD18" s="12">
        <v>43</v>
      </c>
      <c r="AE18" s="12">
        <v>43</v>
      </c>
      <c r="AF18" s="12">
        <v>67</v>
      </c>
      <c r="AG18" s="12">
        <v>37</v>
      </c>
      <c r="AH18" s="12">
        <v>71</v>
      </c>
      <c r="AI18" s="12">
        <v>50</v>
      </c>
      <c r="AJ18" s="12">
        <v>64</v>
      </c>
      <c r="AK18" s="12">
        <v>48</v>
      </c>
      <c r="AL18" s="12">
        <v>32</v>
      </c>
      <c r="AM18" s="12">
        <v>38</v>
      </c>
      <c r="AN18" s="12">
        <v>30</v>
      </c>
      <c r="AO18" s="12">
        <v>268</v>
      </c>
      <c r="AP18" s="12">
        <v>226</v>
      </c>
      <c r="AQ18" s="12">
        <v>254</v>
      </c>
      <c r="AR18" s="12">
        <v>7</v>
      </c>
      <c r="AS18" s="12">
        <v>6</v>
      </c>
      <c r="AT18" s="12">
        <v>26</v>
      </c>
      <c r="AU18" s="12">
        <v>16</v>
      </c>
      <c r="AV18" s="12">
        <v>17</v>
      </c>
      <c r="AW18" s="12">
        <v>66</v>
      </c>
      <c r="AX18" s="12">
        <v>70</v>
      </c>
      <c r="AY18" s="12">
        <v>149</v>
      </c>
      <c r="AZ18" s="12">
        <v>113</v>
      </c>
      <c r="BA18" s="12">
        <v>30</v>
      </c>
      <c r="BB18" s="12">
        <v>24</v>
      </c>
      <c r="BC18" s="12">
        <v>57</v>
      </c>
      <c r="BD18" s="12">
        <v>23</v>
      </c>
      <c r="BE18" s="12">
        <v>37</v>
      </c>
      <c r="BF18" s="12">
        <v>12</v>
      </c>
      <c r="BG18" s="12">
        <v>13</v>
      </c>
      <c r="BH18" s="12">
        <v>20</v>
      </c>
      <c r="BI18" s="12">
        <v>15</v>
      </c>
    </row>
    <row r="19" spans="1:61" x14ac:dyDescent="0.2">
      <c r="A19" s="11" t="s">
        <v>6</v>
      </c>
      <c r="B19" s="13">
        <f>B18*40*POWER(10,B17)*1000</f>
        <v>680000000000</v>
      </c>
      <c r="C19" s="13">
        <f t="shared" ref="C19:AW19" si="40">C18*40*POWER(10,C17)*1000</f>
        <v>760000000000</v>
      </c>
      <c r="D19" s="13">
        <f t="shared" si="40"/>
        <v>800000000000</v>
      </c>
      <c r="E19" s="13">
        <f>E18*40*POWER(10,E17)*1000</f>
        <v>608000000000</v>
      </c>
      <c r="F19" s="13">
        <f t="shared" ref="F19:G19" si="41">F18*40*POWER(10,F17)*1000</f>
        <v>548000000000</v>
      </c>
      <c r="G19" s="13">
        <f t="shared" si="41"/>
        <v>412000000000</v>
      </c>
      <c r="H19" s="13">
        <f>H18*40*POWER(10,H17)*1000</f>
        <v>232000000000</v>
      </c>
      <c r="I19" s="13">
        <f t="shared" ref="I19:J19" si="42">I18*40*POWER(10,I17)*1000</f>
        <v>124000000000</v>
      </c>
      <c r="J19" s="13">
        <f t="shared" si="42"/>
        <v>172000000000</v>
      </c>
      <c r="K19" s="13">
        <f>K18*40*POWER(10,K17)*1000</f>
        <v>72000000000</v>
      </c>
      <c r="L19" s="13">
        <f t="shared" ref="L19:M19" si="43">L18*40*POWER(10,L17)*1000</f>
        <v>76000000000</v>
      </c>
      <c r="M19" s="13">
        <f t="shared" si="43"/>
        <v>72000000000</v>
      </c>
      <c r="N19" s="13">
        <f t="shared" si="40"/>
        <v>14400000000</v>
      </c>
      <c r="O19" s="13">
        <f t="shared" si="40"/>
        <v>12000000000</v>
      </c>
      <c r="P19" s="13">
        <f t="shared" si="40"/>
        <v>19200000000</v>
      </c>
      <c r="Q19" s="13">
        <f t="shared" si="40"/>
        <v>5200000000</v>
      </c>
      <c r="R19" s="13">
        <f t="shared" si="40"/>
        <v>5720000000</v>
      </c>
      <c r="S19" s="13">
        <f t="shared" si="40"/>
        <v>4440000000</v>
      </c>
      <c r="T19" s="13">
        <f t="shared" si="40"/>
        <v>1480000000000</v>
      </c>
      <c r="U19" s="13">
        <f t="shared" si="40"/>
        <v>1080000000000</v>
      </c>
      <c r="V19" s="13">
        <f t="shared" si="40"/>
        <v>1120000000000</v>
      </c>
      <c r="W19" s="13">
        <f t="shared" si="40"/>
        <v>43200000000</v>
      </c>
      <c r="X19" s="13">
        <f t="shared" si="40"/>
        <v>34800000000</v>
      </c>
      <c r="Y19" s="13">
        <f t="shared" si="40"/>
        <v>11200000000</v>
      </c>
      <c r="Z19" s="13">
        <f t="shared" si="40"/>
        <v>104000000000</v>
      </c>
      <c r="AA19" s="13">
        <f t="shared" si="40"/>
        <v>136000000000</v>
      </c>
      <c r="AB19" s="13">
        <f t="shared" si="40"/>
        <v>128000000000</v>
      </c>
      <c r="AC19" s="13">
        <f t="shared" si="40"/>
        <v>124000000000</v>
      </c>
      <c r="AD19" s="13">
        <f t="shared" si="40"/>
        <v>172000000000</v>
      </c>
      <c r="AE19" s="13">
        <f t="shared" si="40"/>
        <v>172000000000</v>
      </c>
      <c r="AF19" s="13">
        <f t="shared" si="40"/>
        <v>268000000</v>
      </c>
      <c r="AG19" s="13">
        <f t="shared" si="40"/>
        <v>148000000</v>
      </c>
      <c r="AH19" s="13">
        <f t="shared" si="40"/>
        <v>284000000</v>
      </c>
      <c r="AI19" s="13">
        <f t="shared" si="40"/>
        <v>200000000</v>
      </c>
      <c r="AJ19" s="13">
        <f t="shared" si="40"/>
        <v>256000000</v>
      </c>
      <c r="AK19" s="13">
        <f t="shared" si="40"/>
        <v>192000000</v>
      </c>
      <c r="AL19" s="13">
        <f t="shared" si="40"/>
        <v>1280000000000</v>
      </c>
      <c r="AM19" s="13">
        <f t="shared" si="40"/>
        <v>1520000000000</v>
      </c>
      <c r="AN19" s="13">
        <f t="shared" si="40"/>
        <v>1200000000000</v>
      </c>
      <c r="AO19" s="13">
        <f t="shared" si="40"/>
        <v>1072000000000</v>
      </c>
      <c r="AP19" s="13">
        <f t="shared" si="40"/>
        <v>904000000000</v>
      </c>
      <c r="AQ19" s="13">
        <f t="shared" si="40"/>
        <v>1016000000000</v>
      </c>
      <c r="AR19" s="13">
        <f t="shared" si="40"/>
        <v>2800000000</v>
      </c>
      <c r="AS19" s="13">
        <f t="shared" si="40"/>
        <v>2400000000</v>
      </c>
      <c r="AT19" s="13">
        <f t="shared" si="40"/>
        <v>10400000000</v>
      </c>
      <c r="AU19" s="13">
        <f t="shared" si="40"/>
        <v>6400000000</v>
      </c>
      <c r="AV19" s="13">
        <f t="shared" si="40"/>
        <v>6800000000</v>
      </c>
      <c r="AW19" s="13">
        <f t="shared" si="40"/>
        <v>26400000000</v>
      </c>
      <c r="AX19" s="13">
        <f>AX18*40*POWER(10,AX17)*1000</f>
        <v>2800000000</v>
      </c>
      <c r="AY19" s="13">
        <f t="shared" ref="AY19:BI19" si="44">AY18*40*POWER(10,AY17)*1000</f>
        <v>5960000000</v>
      </c>
      <c r="AZ19" s="13">
        <f t="shared" si="44"/>
        <v>4520000000</v>
      </c>
      <c r="BA19" s="13">
        <f>BA18*40*POWER(10,BA17)*1000</f>
        <v>12000000000</v>
      </c>
      <c r="BB19" s="13">
        <f t="shared" ref="BB19:BC19" si="45">BB18*40*POWER(10,BB17)*1000</f>
        <v>9600000000</v>
      </c>
      <c r="BC19" s="13">
        <f t="shared" si="45"/>
        <v>22800000000</v>
      </c>
      <c r="BD19" s="13">
        <f t="shared" si="44"/>
        <v>9200000000</v>
      </c>
      <c r="BE19" s="13">
        <f t="shared" si="44"/>
        <v>14800000000</v>
      </c>
      <c r="BF19" s="13">
        <f t="shared" si="44"/>
        <v>4800000000</v>
      </c>
      <c r="BG19" s="13">
        <f t="shared" si="44"/>
        <v>52000000000</v>
      </c>
      <c r="BH19" s="13">
        <f t="shared" si="44"/>
        <v>80000000000</v>
      </c>
      <c r="BI19" s="13">
        <f t="shared" si="44"/>
        <v>60000000000</v>
      </c>
    </row>
    <row r="20" spans="1:61" x14ac:dyDescent="0.2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spans="1:61" x14ac:dyDescent="0.2">
      <c r="A21" s="14" t="s">
        <v>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x14ac:dyDescent="0.2">
      <c r="A22" s="17" t="s">
        <v>10</v>
      </c>
      <c r="B22" s="18">
        <f>LOG(B19)</f>
        <v>11.832508912706237</v>
      </c>
      <c r="C22" s="18">
        <f t="shared" ref="C22:AW22" si="46">LOG(C19)</f>
        <v>11.880813592280791</v>
      </c>
      <c r="D22" s="18">
        <f t="shared" si="46"/>
        <v>11.903089986991944</v>
      </c>
      <c r="E22" s="18">
        <f>LOG(E19)</f>
        <v>11.783903579272735</v>
      </c>
      <c r="F22" s="18">
        <f t="shared" ref="F22:G22" si="47">LOG(F19)</f>
        <v>11.738780558484368</v>
      </c>
      <c r="G22" s="18">
        <f t="shared" si="47"/>
        <v>11.614897216033135</v>
      </c>
      <c r="H22" s="18">
        <f>LOG(H19)</f>
        <v>11.365487984890899</v>
      </c>
      <c r="I22" s="18">
        <f t="shared" ref="I22:J22" si="48">LOG(I19)</f>
        <v>11.093421685162236</v>
      </c>
      <c r="J22" s="18">
        <f t="shared" si="48"/>
        <v>11.23552844690755</v>
      </c>
      <c r="K22" s="18">
        <f>LOG(K19)</f>
        <v>10.857332496431269</v>
      </c>
      <c r="L22" s="18">
        <f t="shared" ref="L22:M22" si="49">LOG(L19)</f>
        <v>10.880813592280791</v>
      </c>
      <c r="M22" s="18">
        <f t="shared" si="49"/>
        <v>10.857332496431269</v>
      </c>
      <c r="N22" s="18">
        <f t="shared" si="46"/>
        <v>10.15836249209525</v>
      </c>
      <c r="O22" s="18">
        <f t="shared" si="46"/>
        <v>10.079181246047625</v>
      </c>
      <c r="P22" s="18">
        <f t="shared" si="46"/>
        <v>10.28330122870355</v>
      </c>
      <c r="Q22" s="18">
        <f t="shared" si="46"/>
        <v>9.7160033436347994</v>
      </c>
      <c r="R22" s="18">
        <f t="shared" si="46"/>
        <v>9.7573960287930248</v>
      </c>
      <c r="S22" s="18">
        <f t="shared" si="46"/>
        <v>9.6473829701146201</v>
      </c>
      <c r="T22" s="18">
        <f t="shared" si="46"/>
        <v>12.170261715394957</v>
      </c>
      <c r="U22" s="18">
        <f t="shared" si="46"/>
        <v>12.03342375548695</v>
      </c>
      <c r="V22" s="18">
        <f t="shared" si="46"/>
        <v>12.049218022670182</v>
      </c>
      <c r="W22" s="18">
        <f t="shared" si="46"/>
        <v>10.635483746814913</v>
      </c>
      <c r="X22" s="18">
        <f t="shared" si="46"/>
        <v>10.541579243946581</v>
      </c>
      <c r="Y22" s="18">
        <f t="shared" si="46"/>
        <v>10.049218022670182</v>
      </c>
      <c r="Z22" s="18">
        <f t="shared" si="46"/>
        <v>11.017033339298781</v>
      </c>
      <c r="AA22" s="18">
        <f t="shared" si="46"/>
        <v>11.133538908370218</v>
      </c>
      <c r="AB22" s="18">
        <f t="shared" si="46"/>
        <v>11.107209969647869</v>
      </c>
      <c r="AC22" s="18">
        <f t="shared" si="46"/>
        <v>11.093421685162236</v>
      </c>
      <c r="AD22" s="18">
        <f t="shared" si="46"/>
        <v>11.23552844690755</v>
      </c>
      <c r="AE22" s="18">
        <f t="shared" si="46"/>
        <v>11.23552844690755</v>
      </c>
      <c r="AF22" s="18">
        <f t="shared" si="46"/>
        <v>8.4281347940287894</v>
      </c>
      <c r="AG22" s="18">
        <f t="shared" si="46"/>
        <v>8.1702617153949575</v>
      </c>
      <c r="AH22" s="18">
        <f t="shared" si="46"/>
        <v>8.4533183400470371</v>
      </c>
      <c r="AI22" s="18">
        <f t="shared" si="46"/>
        <v>8.3010299956639813</v>
      </c>
      <c r="AJ22" s="18">
        <f t="shared" si="46"/>
        <v>8.40823996531185</v>
      </c>
      <c r="AK22" s="18">
        <f t="shared" si="46"/>
        <v>8.2833012287035501</v>
      </c>
      <c r="AL22" s="18">
        <f t="shared" si="46"/>
        <v>12.107209969647869</v>
      </c>
      <c r="AM22" s="18">
        <f t="shared" si="46"/>
        <v>12.181843587944773</v>
      </c>
      <c r="AN22" s="18">
        <f t="shared" si="46"/>
        <v>12.079181246047625</v>
      </c>
      <c r="AO22" s="18">
        <f t="shared" si="46"/>
        <v>12.030194785356752</v>
      </c>
      <c r="AP22" s="18">
        <f t="shared" si="46"/>
        <v>11.956168430475364</v>
      </c>
      <c r="AQ22" s="18">
        <f t="shared" si="46"/>
        <v>12.006893707947901</v>
      </c>
      <c r="AR22" s="18">
        <f t="shared" si="46"/>
        <v>9.4471580313422194</v>
      </c>
      <c r="AS22" s="18">
        <f t="shared" si="46"/>
        <v>9.3802112417116064</v>
      </c>
      <c r="AT22" s="18">
        <f t="shared" si="46"/>
        <v>10.017033339298781</v>
      </c>
      <c r="AU22" s="18">
        <f t="shared" si="46"/>
        <v>9.8061799739838875</v>
      </c>
      <c r="AV22" s="18">
        <f t="shared" si="46"/>
        <v>9.8325089127062366</v>
      </c>
      <c r="AW22" s="18">
        <f t="shared" si="46"/>
        <v>10.421603926869832</v>
      </c>
      <c r="AX22" s="18">
        <f>LOG(AX19)</f>
        <v>9.4471580313422194</v>
      </c>
      <c r="AY22" s="18">
        <f t="shared" ref="AY22:BI22" si="50">LOG(AY19)</f>
        <v>9.7752462597402356</v>
      </c>
      <c r="AZ22" s="18">
        <f t="shared" si="50"/>
        <v>9.6551384348113825</v>
      </c>
      <c r="BA22" s="18">
        <f>LOG(BA19)</f>
        <v>10.079181246047625</v>
      </c>
      <c r="BB22" s="18">
        <f t="shared" ref="BB22:BC22" si="51">LOG(BB19)</f>
        <v>9.9822712330395689</v>
      </c>
      <c r="BC22" s="18">
        <f t="shared" si="51"/>
        <v>10.357934847000454</v>
      </c>
      <c r="BD22" s="18">
        <f t="shared" si="50"/>
        <v>9.9637878273455556</v>
      </c>
      <c r="BE22" s="18">
        <f t="shared" si="50"/>
        <v>10.170261715394957</v>
      </c>
      <c r="BF22" s="18">
        <f t="shared" si="50"/>
        <v>9.6812412373755876</v>
      </c>
      <c r="BG22" s="18">
        <f t="shared" si="50"/>
        <v>10.716003343634799</v>
      </c>
      <c r="BH22" s="18">
        <f t="shared" si="50"/>
        <v>10.903089986991944</v>
      </c>
      <c r="BI22" s="18">
        <f t="shared" si="50"/>
        <v>10.778151250383644</v>
      </c>
    </row>
    <row r="23" spans="1:61" x14ac:dyDescent="0.2">
      <c r="A23" s="17" t="s">
        <v>11</v>
      </c>
      <c r="B23" s="19">
        <f>LOG(B16)</f>
        <v>10.944482672150169</v>
      </c>
      <c r="C23" s="19">
        <f t="shared" ref="C23:AW23" si="52">LOG(C16)</f>
        <v>10.903089986991944</v>
      </c>
      <c r="D23" s="19">
        <f t="shared" si="52"/>
        <v>10.982271233039569</v>
      </c>
      <c r="E23" s="19">
        <f>LOG(E16)</f>
        <v>11.453318340047037</v>
      </c>
      <c r="F23" s="19">
        <f t="shared" ref="F23:G23" si="53">LOG(F16)</f>
        <v>11.292256071356476</v>
      </c>
      <c r="G23" s="19">
        <f t="shared" si="53"/>
        <v>11.401400540781545</v>
      </c>
      <c r="H23" s="19">
        <f>LOG(H16)</f>
        <v>10.093421685162236</v>
      </c>
      <c r="I23" s="19">
        <f t="shared" ref="I23:J23" si="54">LOG(I16)</f>
        <v>9.6434526764861879</v>
      </c>
      <c r="J23" s="19">
        <f t="shared" si="54"/>
        <v>9.8061799739838875</v>
      </c>
      <c r="K23" s="19">
        <f>LOG(K16)</f>
        <v>11.546542663478132</v>
      </c>
      <c r="L23" s="19">
        <f t="shared" ref="L23:M23" si="55">LOG(L16)</f>
        <v>11.515873843711679</v>
      </c>
      <c r="M23" s="19">
        <f t="shared" si="55"/>
        <v>11.61066016308988</v>
      </c>
      <c r="N23" s="19">
        <f t="shared" si="52"/>
        <v>11.748188027006201</v>
      </c>
      <c r="O23" s="19">
        <f t="shared" si="52"/>
        <v>11.447158031342219</v>
      </c>
      <c r="P23" s="19">
        <f t="shared" si="52"/>
        <v>11.681241237375588</v>
      </c>
      <c r="Q23" s="19">
        <f t="shared" si="52"/>
        <v>11.570542939881898</v>
      </c>
      <c r="R23" s="19">
        <f t="shared" si="52"/>
        <v>11.570542939881898</v>
      </c>
      <c r="S23" s="19">
        <f t="shared" si="52"/>
        <v>11.482873583608754</v>
      </c>
      <c r="T23" s="19">
        <f t="shared" si="52"/>
        <v>10.556302500767288</v>
      </c>
      <c r="U23" s="19">
        <f t="shared" si="52"/>
        <v>10.716003343634799</v>
      </c>
      <c r="V23" s="19">
        <f t="shared" si="52"/>
        <v>10.505149978319906</v>
      </c>
      <c r="W23" s="19">
        <f t="shared" si="52"/>
        <v>10.684845361644413</v>
      </c>
      <c r="X23" s="19">
        <f t="shared" si="52"/>
        <v>10.673941998634088</v>
      </c>
      <c r="Y23" s="19">
        <f t="shared" si="52"/>
        <v>10.712649701627212</v>
      </c>
      <c r="Z23" s="19">
        <f t="shared" si="52"/>
        <v>11.093421685162236</v>
      </c>
      <c r="AA23" s="19">
        <f t="shared" si="52"/>
        <v>11.309630167425899</v>
      </c>
      <c r="AB23" s="19">
        <f t="shared" si="52"/>
        <v>10.924279286061882</v>
      </c>
      <c r="AC23" s="19">
        <f t="shared" si="52"/>
        <v>11.447158031342219</v>
      </c>
      <c r="AD23" s="19">
        <f t="shared" si="52"/>
        <v>11.531478917042255</v>
      </c>
      <c r="AE23" s="19">
        <f t="shared" si="52"/>
        <v>11.453318340047037</v>
      </c>
      <c r="AF23" s="19">
        <f t="shared" si="52"/>
        <v>10.602059991327963</v>
      </c>
      <c r="AG23" s="19">
        <f t="shared" si="52"/>
        <v>10.505149978319906</v>
      </c>
      <c r="AH23" s="19">
        <f t="shared" si="52"/>
        <v>10.681241237375588</v>
      </c>
      <c r="AI23" s="19">
        <f t="shared" si="52"/>
        <v>10.982271233039569</v>
      </c>
      <c r="AJ23" s="19">
        <f t="shared" si="52"/>
        <v>10.778151250383644</v>
      </c>
      <c r="AK23" s="19">
        <f t="shared" si="52"/>
        <v>10.643452676486188</v>
      </c>
      <c r="AL23" s="19">
        <f t="shared" si="52"/>
        <v>9.7481880270062007</v>
      </c>
      <c r="AM23" s="19">
        <f t="shared" si="52"/>
        <v>9.4471580313422194</v>
      </c>
      <c r="AN23" s="19">
        <f t="shared" si="52"/>
        <v>9.5563025007672877</v>
      </c>
      <c r="AO23" s="19">
        <f t="shared" si="52"/>
        <v>9.4828735836087539</v>
      </c>
      <c r="AP23" s="19">
        <f t="shared" si="52"/>
        <v>9.3263358609287508</v>
      </c>
      <c r="AQ23" s="19">
        <f t="shared" si="52"/>
        <v>9.4771212547196626</v>
      </c>
      <c r="AR23" s="19">
        <f t="shared" si="52"/>
        <v>10.079181246047625</v>
      </c>
      <c r="AS23" s="19">
        <f t="shared" si="52"/>
        <v>10.380211241711606</v>
      </c>
      <c r="AT23" s="19">
        <f t="shared" si="52"/>
        <v>10.505149978319906</v>
      </c>
      <c r="AU23" s="19">
        <f t="shared" si="52"/>
        <v>10.602059991327963</v>
      </c>
      <c r="AV23" s="19">
        <f t="shared" si="52"/>
        <v>10.602059991327963</v>
      </c>
      <c r="AW23" s="19">
        <f t="shared" si="52"/>
        <v>10.643452676486188</v>
      </c>
      <c r="AX23" s="19">
        <f>LOG(AX16)</f>
        <v>10.832508912706237</v>
      </c>
      <c r="AY23" s="19">
        <f t="shared" ref="AY23:BI23" si="56">LOG(AY16)</f>
        <v>10.778151250383644</v>
      </c>
      <c r="AZ23" s="19">
        <f t="shared" si="56"/>
        <v>10.301029995663981</v>
      </c>
      <c r="BA23" s="19">
        <f>LOG(BA16)</f>
        <v>10.40823996531185</v>
      </c>
      <c r="BB23" s="19">
        <f t="shared" ref="BB23:BC23" si="57">LOG(BB16)</f>
        <v>10.334453751150932</v>
      </c>
      <c r="BC23" s="19">
        <f t="shared" si="57"/>
        <v>10.38738982633873</v>
      </c>
      <c r="BD23" s="19">
        <f t="shared" si="56"/>
        <v>10.681241237375588</v>
      </c>
      <c r="BE23" s="19">
        <f t="shared" si="56"/>
        <v>10.602059991327963</v>
      </c>
      <c r="BF23" s="19">
        <f t="shared" si="56"/>
        <v>10.880813592280791</v>
      </c>
      <c r="BG23" s="19">
        <f t="shared" si="56"/>
        <v>10.786751422145562</v>
      </c>
      <c r="BH23" s="19">
        <f t="shared" si="56"/>
        <v>10.651278013998144</v>
      </c>
      <c r="BI23" s="19">
        <f t="shared" si="56"/>
        <v>10.729164789692771</v>
      </c>
    </row>
    <row r="25" spans="1:61" x14ac:dyDescent="0.2">
      <c r="A25" s="17" t="s">
        <v>20</v>
      </c>
      <c r="B25" s="19">
        <f>B5/B8</f>
        <v>0.72549019607843135</v>
      </c>
      <c r="C25" s="19">
        <f t="shared" ref="C25:BH25" si="58">C5/C8</f>
        <v>0.57407407407407407</v>
      </c>
      <c r="D25" s="19">
        <f t="shared" si="58"/>
        <v>0.86274509803921573</v>
      </c>
      <c r="E25" s="19">
        <f t="shared" si="58"/>
        <v>0.35087719298245612</v>
      </c>
      <c r="F25" s="19">
        <f t="shared" si="58"/>
        <v>0.29230769230769232</v>
      </c>
      <c r="G25" s="19">
        <f t="shared" si="58"/>
        <v>0.25757575757575757</v>
      </c>
      <c r="H25" s="19">
        <f t="shared" si="58"/>
        <v>2.3571428571428572</v>
      </c>
      <c r="I25" s="19">
        <f t="shared" si="58"/>
        <v>1.8666666666666667</v>
      </c>
      <c r="J25" s="19">
        <f t="shared" si="58"/>
        <v>2.25</v>
      </c>
      <c r="K25" s="19">
        <f t="shared" si="58"/>
        <v>1.3333333333333333</v>
      </c>
      <c r="L25" s="19">
        <f t="shared" si="58"/>
        <v>1.0625</v>
      </c>
      <c r="M25" s="19">
        <f t="shared" si="58"/>
        <v>1.1538461538461537</v>
      </c>
      <c r="N25" s="19">
        <f t="shared" si="58"/>
        <v>0.69090909090909092</v>
      </c>
      <c r="O25" s="19">
        <f t="shared" si="58"/>
        <v>0.43333333333333335</v>
      </c>
      <c r="P25" s="19">
        <f t="shared" si="58"/>
        <v>0.66666666666666663</v>
      </c>
      <c r="Q25" s="19">
        <f t="shared" si="58"/>
        <v>0.27083333333333331</v>
      </c>
      <c r="R25" s="19">
        <f t="shared" si="58"/>
        <v>0.33898305084745761</v>
      </c>
      <c r="S25" s="19">
        <f t="shared" si="58"/>
        <v>0.25862068965517243</v>
      </c>
      <c r="T25" s="19">
        <f t="shared" si="58"/>
        <v>0.74576271186440679</v>
      </c>
      <c r="U25" s="19">
        <f t="shared" si="58"/>
        <v>0.39344262295081966</v>
      </c>
      <c r="V25" s="19">
        <f t="shared" si="58"/>
        <v>0.77500000000000002</v>
      </c>
      <c r="W25" s="19">
        <f t="shared" si="58"/>
        <v>0.16923076923076924</v>
      </c>
      <c r="X25" s="19">
        <f t="shared" si="58"/>
        <v>0.40425531914893614</v>
      </c>
      <c r="Y25" s="19">
        <f t="shared" si="58"/>
        <v>0.34</v>
      </c>
      <c r="Z25" s="19">
        <f t="shared" si="58"/>
        <v>0.32978723404255317</v>
      </c>
      <c r="AA25" s="19">
        <f t="shared" si="58"/>
        <v>0.22</v>
      </c>
      <c r="AB25" s="19">
        <f t="shared" si="58"/>
        <v>0.3048780487804878</v>
      </c>
      <c r="AC25" s="19">
        <f t="shared" si="58"/>
        <v>0.27906976744186046</v>
      </c>
      <c r="AD25" s="19">
        <f t="shared" si="58"/>
        <v>0.37234042553191488</v>
      </c>
      <c r="AE25" s="19">
        <f t="shared" si="58"/>
        <v>0.25555555555555554</v>
      </c>
      <c r="AF25" s="19">
        <f t="shared" si="58"/>
        <v>1.5714285714285714</v>
      </c>
      <c r="AG25" s="19">
        <f t="shared" si="58"/>
        <v>2.5882352941176472</v>
      </c>
      <c r="AH25" s="19">
        <f t="shared" si="58"/>
        <v>1.4090909090909092</v>
      </c>
      <c r="AI25" s="19">
        <f t="shared" si="58"/>
        <v>3.2</v>
      </c>
      <c r="AJ25" s="19">
        <f t="shared" si="58"/>
        <v>1.3333333333333333</v>
      </c>
      <c r="AK25" s="19">
        <f t="shared" si="58"/>
        <v>4.4285714285714288</v>
      </c>
      <c r="AL25" s="19">
        <f t="shared" si="58"/>
        <v>0.9642857142857143</v>
      </c>
      <c r="AM25" s="19">
        <f t="shared" si="58"/>
        <v>1</v>
      </c>
      <c r="AN25" s="19">
        <f t="shared" si="58"/>
        <v>1.0384615384615385</v>
      </c>
      <c r="AO25" s="19">
        <f t="shared" si="58"/>
        <v>0.74193548387096775</v>
      </c>
      <c r="AP25" s="19">
        <f t="shared" si="58"/>
        <v>1.2</v>
      </c>
      <c r="AQ25" s="19">
        <f t="shared" si="58"/>
        <v>0.93548387096774188</v>
      </c>
      <c r="AR25" s="19">
        <f t="shared" si="58"/>
        <v>1</v>
      </c>
      <c r="AS25" s="19">
        <f t="shared" si="58"/>
        <v>0.89473684210526316</v>
      </c>
      <c r="AT25" s="19">
        <f t="shared" si="58"/>
        <v>0.48</v>
      </c>
      <c r="AU25" s="19">
        <f t="shared" si="58"/>
        <v>0.66666666666666663</v>
      </c>
      <c r="AV25" s="19">
        <f t="shared" si="58"/>
        <v>0.82926829268292679</v>
      </c>
      <c r="AW25" s="19">
        <f t="shared" si="58"/>
        <v>0.68571428571428572</v>
      </c>
      <c r="AX25" s="19">
        <f t="shared" si="58"/>
        <v>0.55405405405405406</v>
      </c>
      <c r="AY25" s="19">
        <f t="shared" si="58"/>
        <v>0.72916666666666663</v>
      </c>
      <c r="AZ25" s="19">
        <f t="shared" si="58"/>
        <v>0.89743589743589747</v>
      </c>
      <c r="BA25" s="19">
        <f t="shared" si="58"/>
        <v>0.61224489795918369</v>
      </c>
      <c r="BB25" s="19">
        <f t="shared" si="58"/>
        <v>0.50943396226415094</v>
      </c>
      <c r="BC25" s="19">
        <f t="shared" si="58"/>
        <v>0.63461538461538458</v>
      </c>
      <c r="BD25" s="19">
        <f t="shared" si="58"/>
        <v>0.84210526315789469</v>
      </c>
      <c r="BE25" s="19">
        <f t="shared" si="58"/>
        <v>0.58536585365853655</v>
      </c>
      <c r="BF25" s="19">
        <f t="shared" si="58"/>
        <v>0.78378378378378377</v>
      </c>
      <c r="BG25" s="19">
        <f t="shared" si="58"/>
        <v>0.375</v>
      </c>
      <c r="BH25" s="19">
        <f t="shared" si="58"/>
        <v>0.5</v>
      </c>
      <c r="BI25" s="19">
        <f t="shared" ref="BI25" si="59">BI5/BI8</f>
        <v>0.5</v>
      </c>
    </row>
    <row r="26" spans="1:61" x14ac:dyDescent="0.2">
      <c r="A26" s="17" t="s">
        <v>21</v>
      </c>
      <c r="B26" s="19">
        <f>B16/B19</f>
        <v>0.12941176470588237</v>
      </c>
      <c r="C26" s="19">
        <f t="shared" ref="C26:BH26" si="60">C16/C19</f>
        <v>0.10526315789473684</v>
      </c>
      <c r="D26" s="19">
        <f t="shared" si="60"/>
        <v>0.12</v>
      </c>
      <c r="E26" s="19">
        <f t="shared" si="60"/>
        <v>0.46710526315789475</v>
      </c>
      <c r="F26" s="19">
        <f t="shared" si="60"/>
        <v>0.35766423357664234</v>
      </c>
      <c r="G26" s="19">
        <f t="shared" si="60"/>
        <v>0.61165048543689315</v>
      </c>
      <c r="H26" s="19">
        <f t="shared" si="60"/>
        <v>5.3448275862068968E-2</v>
      </c>
      <c r="I26" s="19">
        <f t="shared" si="60"/>
        <v>3.5483870967741936E-2</v>
      </c>
      <c r="J26" s="19">
        <f t="shared" si="60"/>
        <v>3.7209302325581395E-2</v>
      </c>
      <c r="K26" s="19">
        <f t="shared" si="60"/>
        <v>4.8888888888888893</v>
      </c>
      <c r="L26" s="19">
        <f t="shared" si="60"/>
        <v>4.3157894736842106</v>
      </c>
      <c r="M26" s="19">
        <f t="shared" si="60"/>
        <v>5.666666666666667</v>
      </c>
      <c r="N26" s="19">
        <f t="shared" si="60"/>
        <v>38.888888888888886</v>
      </c>
      <c r="O26" s="19">
        <f t="shared" si="60"/>
        <v>23.333333333333332</v>
      </c>
      <c r="P26" s="19">
        <f t="shared" si="60"/>
        <v>25</v>
      </c>
      <c r="Q26" s="19">
        <f t="shared" si="60"/>
        <v>71.538461538461533</v>
      </c>
      <c r="R26" s="19">
        <f t="shared" si="60"/>
        <v>65.03496503496504</v>
      </c>
      <c r="S26" s="19">
        <f t="shared" si="60"/>
        <v>68.468468468468473</v>
      </c>
      <c r="T26" s="19">
        <f t="shared" si="60"/>
        <v>2.4324324324324326E-2</v>
      </c>
      <c r="U26" s="19">
        <f t="shared" si="60"/>
        <v>4.8148148148148148E-2</v>
      </c>
      <c r="V26" s="19">
        <f t="shared" si="60"/>
        <v>2.8571428571428571E-2</v>
      </c>
      <c r="W26" s="19">
        <f t="shared" si="60"/>
        <v>1.1203703703703705</v>
      </c>
      <c r="X26" s="19">
        <f t="shared" si="60"/>
        <v>1.3563218390804597</v>
      </c>
      <c r="Y26" s="19">
        <f t="shared" si="60"/>
        <v>4.6071428571428568</v>
      </c>
      <c r="Z26" s="19">
        <f t="shared" si="60"/>
        <v>1.1923076923076923</v>
      </c>
      <c r="AA26" s="19">
        <f t="shared" si="60"/>
        <v>1.5</v>
      </c>
      <c r="AB26" s="19">
        <f t="shared" si="60"/>
        <v>0.65625</v>
      </c>
      <c r="AC26" s="19">
        <f t="shared" si="60"/>
        <v>2.2580645161290325</v>
      </c>
      <c r="AD26" s="19">
        <f t="shared" si="60"/>
        <v>1.9767441860465116</v>
      </c>
      <c r="AE26" s="19">
        <f t="shared" si="60"/>
        <v>1.6511627906976745</v>
      </c>
      <c r="AF26" s="19">
        <f t="shared" si="60"/>
        <v>149.25373134328359</v>
      </c>
      <c r="AG26" s="19">
        <f t="shared" si="60"/>
        <v>216.21621621621622</v>
      </c>
      <c r="AH26" s="19">
        <f t="shared" si="60"/>
        <v>169.01408450704224</v>
      </c>
      <c r="AI26" s="19">
        <f t="shared" si="60"/>
        <v>480</v>
      </c>
      <c r="AJ26" s="19">
        <f t="shared" si="60"/>
        <v>234.375</v>
      </c>
      <c r="AK26" s="19">
        <f t="shared" si="60"/>
        <v>229.16666666666666</v>
      </c>
      <c r="AL26" s="19">
        <f t="shared" si="60"/>
        <v>4.3750000000000004E-3</v>
      </c>
      <c r="AM26" s="19">
        <f t="shared" si="60"/>
        <v>1.8421052631578947E-3</v>
      </c>
      <c r="AN26" s="19">
        <f t="shared" si="60"/>
        <v>3.0000000000000001E-3</v>
      </c>
      <c r="AO26" s="19">
        <f t="shared" si="60"/>
        <v>2.8358208955223882E-3</v>
      </c>
      <c r="AP26" s="19">
        <f t="shared" si="60"/>
        <v>2.345132743362832E-3</v>
      </c>
      <c r="AQ26" s="19">
        <f t="shared" si="60"/>
        <v>2.952755905511811E-3</v>
      </c>
      <c r="AR26" s="19">
        <f t="shared" si="60"/>
        <v>4.2857142857142856</v>
      </c>
      <c r="AS26" s="19">
        <f t="shared" si="60"/>
        <v>10</v>
      </c>
      <c r="AT26" s="19">
        <f t="shared" si="60"/>
        <v>3.0769230769230771</v>
      </c>
      <c r="AU26" s="19">
        <f t="shared" si="60"/>
        <v>6.25</v>
      </c>
      <c r="AV26" s="19">
        <f t="shared" si="60"/>
        <v>5.882352941176471</v>
      </c>
      <c r="AW26" s="19">
        <f t="shared" si="60"/>
        <v>1.6666666666666667</v>
      </c>
      <c r="AX26" s="19">
        <f t="shared" si="60"/>
        <v>24.285714285714285</v>
      </c>
      <c r="AY26" s="19">
        <f t="shared" si="60"/>
        <v>10.067114093959731</v>
      </c>
      <c r="AZ26" s="19">
        <f t="shared" si="60"/>
        <v>4.4247787610619467</v>
      </c>
      <c r="BA26" s="19">
        <f t="shared" si="60"/>
        <v>2.1333333333333333</v>
      </c>
      <c r="BB26" s="19">
        <f t="shared" si="60"/>
        <v>2.25</v>
      </c>
      <c r="BC26" s="19">
        <f t="shared" si="60"/>
        <v>1.0701754385964912</v>
      </c>
      <c r="BD26" s="19">
        <f t="shared" si="60"/>
        <v>5.2173913043478262</v>
      </c>
      <c r="BE26" s="19">
        <f t="shared" si="60"/>
        <v>2.7027027027027026</v>
      </c>
      <c r="BF26" s="19">
        <f t="shared" si="60"/>
        <v>15.833333333333334</v>
      </c>
      <c r="BG26" s="19">
        <f t="shared" si="60"/>
        <v>1.176923076923077</v>
      </c>
      <c r="BH26" s="19">
        <f t="shared" si="60"/>
        <v>0.56000000000000005</v>
      </c>
      <c r="BI26" s="19">
        <f t="shared" ref="BI26" si="61">BI16/BI19</f>
        <v>0.89333333333333331</v>
      </c>
    </row>
    <row r="27" spans="1:61" x14ac:dyDescent="0.2">
      <c r="A27" s="17" t="s">
        <v>23</v>
      </c>
      <c r="B27" s="19">
        <f>B26/B25</f>
        <v>0.17837837837837839</v>
      </c>
      <c r="C27" s="19">
        <f t="shared" ref="C27:BH27" si="62">C26/C25</f>
        <v>0.18336162988115448</v>
      </c>
      <c r="D27" s="19">
        <f t="shared" si="62"/>
        <v>0.13909090909090907</v>
      </c>
      <c r="E27" s="19">
        <f t="shared" si="62"/>
        <v>1.33125</v>
      </c>
      <c r="F27" s="19">
        <f t="shared" si="62"/>
        <v>1.2235881674990394</v>
      </c>
      <c r="G27" s="19">
        <f t="shared" si="62"/>
        <v>2.3746430611079381</v>
      </c>
      <c r="H27" s="19">
        <f t="shared" si="62"/>
        <v>2.2675026123301988E-2</v>
      </c>
      <c r="I27" s="19">
        <f t="shared" si="62"/>
        <v>1.9009216589861752E-2</v>
      </c>
      <c r="J27" s="19">
        <f t="shared" si="62"/>
        <v>1.6537467700258397E-2</v>
      </c>
      <c r="K27" s="19">
        <f t="shared" si="62"/>
        <v>3.666666666666667</v>
      </c>
      <c r="L27" s="19">
        <f t="shared" si="62"/>
        <v>4.0619195046439627</v>
      </c>
      <c r="M27" s="19">
        <f t="shared" si="62"/>
        <v>4.9111111111111114</v>
      </c>
      <c r="N27" s="19">
        <f t="shared" si="62"/>
        <v>56.286549707602333</v>
      </c>
      <c r="O27" s="19">
        <f t="shared" si="62"/>
        <v>53.84615384615384</v>
      </c>
      <c r="P27" s="19">
        <f t="shared" si="62"/>
        <v>37.5</v>
      </c>
      <c r="Q27" s="19">
        <f t="shared" si="62"/>
        <v>264.14201183431953</v>
      </c>
      <c r="R27" s="19">
        <f t="shared" si="62"/>
        <v>191.85314685314688</v>
      </c>
      <c r="S27" s="19">
        <f t="shared" si="62"/>
        <v>264.74474474474476</v>
      </c>
      <c r="T27" s="19">
        <f t="shared" si="62"/>
        <v>3.2616707616707617E-2</v>
      </c>
      <c r="U27" s="19">
        <f t="shared" si="62"/>
        <v>0.12237654320987655</v>
      </c>
      <c r="V27" s="19">
        <f t="shared" si="62"/>
        <v>3.6866359447004608E-2</v>
      </c>
      <c r="W27" s="19">
        <f t="shared" si="62"/>
        <v>6.6203703703703702</v>
      </c>
      <c r="X27" s="19">
        <f t="shared" si="62"/>
        <v>3.3551119177253477</v>
      </c>
      <c r="Y27" s="19">
        <f t="shared" si="62"/>
        <v>13.550420168067225</v>
      </c>
      <c r="Z27" s="19">
        <f t="shared" si="62"/>
        <v>3.6153846153846154</v>
      </c>
      <c r="AA27" s="19">
        <f t="shared" si="62"/>
        <v>6.8181818181818183</v>
      </c>
      <c r="AB27" s="19">
        <f t="shared" si="62"/>
        <v>2.1524999999999999</v>
      </c>
      <c r="AC27" s="19">
        <f t="shared" si="62"/>
        <v>8.091397849462366</v>
      </c>
      <c r="AD27" s="19">
        <f t="shared" si="62"/>
        <v>5.308970099667774</v>
      </c>
      <c r="AE27" s="19">
        <f t="shared" si="62"/>
        <v>6.461071789686553</v>
      </c>
      <c r="AF27" s="19">
        <f t="shared" si="62"/>
        <v>94.979647218453195</v>
      </c>
      <c r="AG27" s="19">
        <f t="shared" si="62"/>
        <v>83.538083538083541</v>
      </c>
      <c r="AH27" s="19">
        <f t="shared" si="62"/>
        <v>119.94547932757835</v>
      </c>
      <c r="AI27" s="19">
        <f t="shared" si="62"/>
        <v>150</v>
      </c>
      <c r="AJ27" s="19">
        <f t="shared" si="62"/>
        <v>175.78125</v>
      </c>
      <c r="AK27" s="19">
        <f t="shared" si="62"/>
        <v>51.747311827956985</v>
      </c>
      <c r="AL27" s="19">
        <f t="shared" si="62"/>
        <v>4.5370370370370373E-3</v>
      </c>
      <c r="AM27" s="19">
        <f t="shared" si="62"/>
        <v>1.8421052631578947E-3</v>
      </c>
      <c r="AN27" s="19">
        <f t="shared" si="62"/>
        <v>2.8888888888888888E-3</v>
      </c>
      <c r="AO27" s="19">
        <f t="shared" si="62"/>
        <v>3.8221933809214799E-3</v>
      </c>
      <c r="AP27" s="19">
        <f t="shared" si="62"/>
        <v>1.9542772861356936E-3</v>
      </c>
      <c r="AQ27" s="19">
        <f t="shared" si="62"/>
        <v>3.1563942438229704E-3</v>
      </c>
      <c r="AR27" s="19">
        <f t="shared" si="62"/>
        <v>4.2857142857142856</v>
      </c>
      <c r="AS27" s="19">
        <f t="shared" si="62"/>
        <v>11.176470588235293</v>
      </c>
      <c r="AT27" s="19">
        <f t="shared" si="62"/>
        <v>6.4102564102564106</v>
      </c>
      <c r="AU27" s="19">
        <f t="shared" si="62"/>
        <v>9.375</v>
      </c>
      <c r="AV27" s="19">
        <f t="shared" si="62"/>
        <v>7.0934256055363329</v>
      </c>
      <c r="AW27" s="19">
        <f t="shared" si="62"/>
        <v>2.4305555555555558</v>
      </c>
      <c r="AX27" s="19">
        <f t="shared" si="62"/>
        <v>43.832752613240416</v>
      </c>
      <c r="AY27" s="19">
        <f t="shared" si="62"/>
        <v>13.806327900287631</v>
      </c>
      <c r="AZ27" s="19">
        <f t="shared" si="62"/>
        <v>4.9304677623261686</v>
      </c>
      <c r="BA27" s="19">
        <f t="shared" si="62"/>
        <v>3.4844444444444442</v>
      </c>
      <c r="BB27" s="19">
        <f t="shared" si="62"/>
        <v>4.416666666666667</v>
      </c>
      <c r="BC27" s="19">
        <f t="shared" si="62"/>
        <v>1.6863370547581076</v>
      </c>
      <c r="BD27" s="19">
        <f t="shared" si="62"/>
        <v>6.1956521739130439</v>
      </c>
      <c r="BE27" s="19">
        <f t="shared" si="62"/>
        <v>4.6171171171171173</v>
      </c>
      <c r="BF27" s="19">
        <f t="shared" si="62"/>
        <v>20.201149425287358</v>
      </c>
      <c r="BG27" s="19">
        <f t="shared" si="62"/>
        <v>3.1384615384615384</v>
      </c>
      <c r="BH27" s="19">
        <f t="shared" si="62"/>
        <v>1.1200000000000001</v>
      </c>
      <c r="BI27" s="19">
        <f t="shared" ref="BI27" si="63">BI26/BI25</f>
        <v>1.7866666666666666</v>
      </c>
    </row>
    <row r="28" spans="1:61" x14ac:dyDescent="0.2">
      <c r="A28" s="17" t="s">
        <v>22</v>
      </c>
      <c r="B28" s="19">
        <f>LOG(B27)</f>
        <v>-0.74865778852512632</v>
      </c>
      <c r="C28" s="19">
        <f t="shared" ref="C28:BH28" si="64">LOG(C27)</f>
        <v>-0.73669153930015197</v>
      </c>
      <c r="D28" s="19">
        <f t="shared" si="64"/>
        <v>-0.85670125434062627</v>
      </c>
      <c r="E28" s="19">
        <f t="shared" si="64"/>
        <v>0.12425962078281295</v>
      </c>
      <c r="F28" s="19">
        <f t="shared" si="64"/>
        <v>8.7635268562133453E-2</v>
      </c>
      <c r="G28" s="19">
        <f t="shared" si="64"/>
        <v>0.37559833891200423</v>
      </c>
      <c r="H28" s="19">
        <f t="shared" si="64"/>
        <v>-1.644452203928314</v>
      </c>
      <c r="I28" s="19">
        <f t="shared" si="64"/>
        <v>-1.7210357809625856</v>
      </c>
      <c r="J28" s="19">
        <f t="shared" si="64"/>
        <v>-1.7815309910350243</v>
      </c>
      <c r="K28" s="19">
        <f t="shared" si="64"/>
        <v>0.56427143043856265</v>
      </c>
      <c r="L28" s="19">
        <f t="shared" si="64"/>
        <v>0.60873131270853853</v>
      </c>
      <c r="M28" s="19">
        <f t="shared" si="64"/>
        <v>0.6911797599097671</v>
      </c>
      <c r="N28" s="19">
        <f t="shared" si="64"/>
        <v>1.7504046277883845</v>
      </c>
      <c r="O28" s="19">
        <f t="shared" si="64"/>
        <v>1.73115468770742</v>
      </c>
      <c r="P28" s="19">
        <f t="shared" si="64"/>
        <v>1.5740312677277188</v>
      </c>
      <c r="Q28" s="19">
        <f t="shared" si="64"/>
        <v>2.421837481315849</v>
      </c>
      <c r="R28" s="19">
        <f t="shared" si="64"/>
        <v>2.2829689270670364</v>
      </c>
      <c r="S28" s="19">
        <f t="shared" si="64"/>
        <v>2.4228273480013898</v>
      </c>
      <c r="T28" s="19">
        <f t="shared" si="64"/>
        <v>-1.4865598794717134</v>
      </c>
      <c r="U28" s="19">
        <f t="shared" si="64"/>
        <v>-0.91230181855298953</v>
      </c>
      <c r="V28" s="19">
        <f t="shared" si="64"/>
        <v>-1.433369746856586</v>
      </c>
      <c r="W28" s="19">
        <f t="shared" si="64"/>
        <v>0.82088228631413085</v>
      </c>
      <c r="X28" s="19">
        <f t="shared" si="64"/>
        <v>0.52570701167039535</v>
      </c>
      <c r="Y28" s="19">
        <f t="shared" si="64"/>
        <v>1.1319527619147745</v>
      </c>
      <c r="Z28" s="19">
        <f t="shared" si="64"/>
        <v>0.55815450562888069</v>
      </c>
      <c r="AA28" s="19">
        <f t="shared" si="64"/>
        <v>0.83366857823347507</v>
      </c>
      <c r="AB28" s="19">
        <f t="shared" si="64"/>
        <v>0.33294316012569236</v>
      </c>
      <c r="AC28" s="19">
        <f t="shared" si="64"/>
        <v>0.90802355571194582</v>
      </c>
      <c r="AD28" s="19">
        <f t="shared" si="64"/>
        <v>0.72501027938412921</v>
      </c>
      <c r="AE28" s="19">
        <f t="shared" si="64"/>
        <v>0.81030456656122085</v>
      </c>
      <c r="AF28" s="19">
        <f t="shared" si="64"/>
        <v>1.9776305521552053</v>
      </c>
      <c r="AG28" s="19">
        <f t="shared" si="64"/>
        <v>1.921884507817035</v>
      </c>
      <c r="AH28" s="19">
        <f t="shared" si="64"/>
        <v>2.0789838843164832</v>
      </c>
      <c r="AI28" s="19">
        <f t="shared" si="64"/>
        <v>2.1760912590556813</v>
      </c>
      <c r="AJ28" s="19">
        <f t="shared" si="64"/>
        <v>2.2449725484634939</v>
      </c>
      <c r="AK28" s="19">
        <f t="shared" si="64"/>
        <v>1.713887793962622</v>
      </c>
      <c r="AL28" s="19">
        <f t="shared" si="64"/>
        <v>-2.343227675458436</v>
      </c>
      <c r="AM28" s="19">
        <f t="shared" si="64"/>
        <v>-2.7346855566025532</v>
      </c>
      <c r="AN28" s="19">
        <f t="shared" si="64"/>
        <v>-2.539269161468507</v>
      </c>
      <c r="AO28" s="19">
        <f t="shared" si="64"/>
        <v>-2.4176873439313176</v>
      </c>
      <c r="AP28" s="19">
        <f t="shared" si="64"/>
        <v>-2.7090138155942367</v>
      </c>
      <c r="AQ28" s="19">
        <f t="shared" si="64"/>
        <v>-2.5008087572929214</v>
      </c>
      <c r="AR28" s="19">
        <f t="shared" si="64"/>
        <v>0.63202321470540557</v>
      </c>
      <c r="AS28" s="19">
        <f t="shared" si="64"/>
        <v>1.048304679574555</v>
      </c>
      <c r="AT28" s="19">
        <f t="shared" si="64"/>
        <v>0.80687540164553839</v>
      </c>
      <c r="AU28" s="19">
        <f t="shared" si="64"/>
        <v>0.97197127639975645</v>
      </c>
      <c r="AV28" s="19">
        <f t="shared" si="64"/>
        <v>0.85085601829920654</v>
      </c>
      <c r="AW28" s="19">
        <f t="shared" si="64"/>
        <v>0.38570555225502601</v>
      </c>
      <c r="AX28" s="19">
        <f t="shared" si="64"/>
        <v>1.6417987443752577</v>
      </c>
      <c r="AY28" s="19">
        <f t="shared" si="64"/>
        <v>1.1400781836687188</v>
      </c>
      <c r="AZ28" s="19">
        <f t="shared" si="64"/>
        <v>0.69288812352882256</v>
      </c>
      <c r="BA28" s="19">
        <f t="shared" si="64"/>
        <v>0.54213354457307594</v>
      </c>
      <c r="BB28" s="19">
        <f t="shared" si="64"/>
        <v>0.64509462355316427</v>
      </c>
      <c r="BC28" s="19">
        <f t="shared" si="64"/>
        <v>0.22694438309518736</v>
      </c>
      <c r="BD28" s="19">
        <f t="shared" si="64"/>
        <v>0.79208702832693612</v>
      </c>
      <c r="BE28" s="19">
        <f t="shared" si="64"/>
        <v>0.66437089094113444</v>
      </c>
      <c r="BF28" s="19">
        <f t="shared" si="64"/>
        <v>1.3053760810732431</v>
      </c>
      <c r="BG28" s="19">
        <f t="shared" si="64"/>
        <v>0.49671681078304319</v>
      </c>
      <c r="BH28" s="19">
        <f t="shared" si="64"/>
        <v>4.9218022670181653E-2</v>
      </c>
      <c r="BI28" s="19">
        <f t="shared" ref="BI28" si="65">LOG(BI27)</f>
        <v>0.25204353497310755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 hr</vt:lpstr>
      <vt:lpstr>24 hr</vt:lpstr>
      <vt:lpstr>0+24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王豐錡</dc:creator>
  <cp:lastModifiedBy>王廣宇</cp:lastModifiedBy>
  <dcterms:created xsi:type="dcterms:W3CDTF">2026-01-12T06:20:02Z</dcterms:created>
  <dcterms:modified xsi:type="dcterms:W3CDTF">2026-04-30T06:21:33Z</dcterms:modified>
</cp:coreProperties>
</file>