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hieh/Desktop/"/>
    </mc:Choice>
  </mc:AlternateContent>
  <xr:revisionPtr revIDLastSave="0" documentId="8_{E9909A71-4871-D040-9039-6733700AA459}" xr6:coauthVersionLast="47" xr6:coauthVersionMax="47" xr10:uidLastSave="{00000000-0000-0000-0000-000000000000}"/>
  <bookViews>
    <workbookView xWindow="780" yWindow="1120" windowWidth="27640" windowHeight="16140" activeTab="1" xr2:uid="{8FE8F362-7C3F-AE4A-ACB7-2FF6307E8078}"/>
  </bookViews>
  <sheets>
    <sheet name="Sheet1" sheetId="1" r:id="rId1"/>
    <sheet name="Sheet2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M14" i="2"/>
  <c r="L14" i="2"/>
  <c r="K14" i="2"/>
  <c r="J14" i="2"/>
  <c r="I14" i="2"/>
  <c r="H14" i="2"/>
  <c r="G14" i="2"/>
  <c r="F14" i="2"/>
  <c r="E14" i="2"/>
  <c r="D14" i="2"/>
  <c r="C14" i="2"/>
  <c r="B14" i="2"/>
  <c r="G73" i="1"/>
  <c r="G72" i="1"/>
  <c r="G70" i="1"/>
  <c r="G69" i="1"/>
  <c r="G68" i="1"/>
  <c r="G67" i="1"/>
  <c r="G66" i="1"/>
  <c r="G65" i="1"/>
  <c r="G64" i="1"/>
  <c r="G62" i="1"/>
  <c r="G61" i="1"/>
  <c r="G60" i="1"/>
  <c r="G59" i="1"/>
  <c r="G57" i="1"/>
  <c r="G56" i="1"/>
  <c r="G55" i="1"/>
  <c r="G54" i="1"/>
  <c r="G53" i="1"/>
  <c r="G52" i="1"/>
  <c r="G50" i="1"/>
  <c r="G49" i="1"/>
  <c r="G48" i="1"/>
  <c r="G47" i="1"/>
  <c r="G45" i="1"/>
  <c r="G44" i="1"/>
  <c r="G43" i="1"/>
  <c r="G42" i="1"/>
  <c r="G41" i="1"/>
  <c r="G40" i="1"/>
  <c r="G38" i="1"/>
  <c r="G37" i="1"/>
  <c r="G36" i="1"/>
  <c r="G35" i="1"/>
  <c r="G34" i="1"/>
  <c r="G33" i="1"/>
  <c r="G31" i="1"/>
  <c r="G30" i="1"/>
  <c r="G28" i="1"/>
  <c r="G27" i="1"/>
  <c r="G26" i="1"/>
  <c r="G25" i="1"/>
  <c r="G24" i="1"/>
  <c r="G23" i="1"/>
  <c r="G21" i="1"/>
  <c r="G20" i="1"/>
  <c r="G19" i="1"/>
  <c r="G18" i="1"/>
  <c r="G17" i="1"/>
  <c r="G16" i="1"/>
  <c r="G14" i="1"/>
  <c r="G13" i="1"/>
  <c r="G12" i="1"/>
  <c r="G11" i="1"/>
  <c r="G10" i="1"/>
  <c r="G9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<sst xmlns="http://schemas.openxmlformats.org/spreadsheetml/2006/main" count="205" uniqueCount="29">
  <si>
    <t>date</t>
    <phoneticPr fontId="2" type="noConversion"/>
  </si>
  <si>
    <t>strain (herm)</t>
    <phoneticPr fontId="2" type="noConversion"/>
  </si>
  <si>
    <t>strain (male)</t>
    <phoneticPr fontId="2" type="noConversion"/>
  </si>
  <si>
    <t>bacteria</t>
    <phoneticPr fontId="2" type="noConversion"/>
  </si>
  <si>
    <t>leaver</t>
    <phoneticPr fontId="2" type="noConversion"/>
  </si>
  <si>
    <t>total</t>
    <phoneticPr fontId="2" type="noConversion"/>
  </si>
  <si>
    <t>% of leavers</t>
    <phoneticPr fontId="2" type="noConversion"/>
  </si>
  <si>
    <t>-</t>
    <phoneticPr fontId="2" type="noConversion"/>
  </si>
  <si>
    <t>JUb19 N2</t>
    <phoneticPr fontId="2" type="noConversion"/>
  </si>
  <si>
    <t>OP50</t>
    <phoneticPr fontId="2" type="noConversion"/>
  </si>
  <si>
    <t>JUb66</t>
    <phoneticPr fontId="2" type="noConversion"/>
  </si>
  <si>
    <t>MYb11</t>
    <phoneticPr fontId="2" type="noConversion"/>
  </si>
  <si>
    <t>CEN2ent</t>
  </si>
  <si>
    <t>MSPm1</t>
  </si>
  <si>
    <t>BIGb0172</t>
  </si>
  <si>
    <t>JUb19</t>
    <phoneticPr fontId="2" type="noConversion"/>
  </si>
  <si>
    <t>JUb44</t>
  </si>
  <si>
    <t>MYb10</t>
  </si>
  <si>
    <t>MYb71</t>
  </si>
  <si>
    <t>BIGb0170</t>
  </si>
  <si>
    <t>BIGb0393</t>
  </si>
  <si>
    <t>JUb44</t>
    <phoneticPr fontId="2" type="noConversion"/>
  </si>
  <si>
    <t>JUb134</t>
  </si>
  <si>
    <t>OP50</t>
  </si>
  <si>
    <t>JUb19</t>
  </si>
  <si>
    <t>JUb66</t>
  </si>
  <si>
    <t>JUb134</t>
    <phoneticPr fontId="2" type="noConversion"/>
  </si>
  <si>
    <t>MYb11</t>
  </si>
  <si>
    <t>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</si>
</sst>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master/Project/AS%20Bacteria/male%20leaving%20assay%20-%20bacteria.xlsx" TargetMode="External"/><Relationship Id="rId2" Type="http://schemas.openxmlformats.org/officeDocument/2006/relationships/externalLinkPath" Target="/Users/wangchieh/Documents/master/Project/AS%20Bacteria/male%20leaving%20assay%20-%20bacteria.xlsx" TargetMode="External"/><Relationship Id="rId1" Type="http://schemas.openxmlformats.org/officeDocument/2006/relationships/externalLinkPath" Target="/Users/wangchieh/Documents/master/Project/AS%20Bacteria/male%20leaving%20assay%20-%20bacte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"/>
      <sheetName val="JUb19 "/>
      <sheetName val="CEN2ent"/>
    </sheetNames>
    <sheetDataSet>
      <sheetData sheetId="0">
        <row r="2">
          <cell r="D2" t="str">
            <v>OP50</v>
          </cell>
          <cell r="G2">
            <v>15</v>
          </cell>
        </row>
        <row r="3">
          <cell r="D3" t="str">
            <v>JUb66</v>
          </cell>
          <cell r="G3">
            <v>15</v>
          </cell>
        </row>
        <row r="4">
          <cell r="D4" t="str">
            <v>MYb11</v>
          </cell>
          <cell r="G4">
            <v>15</v>
          </cell>
        </row>
        <row r="5">
          <cell r="D5" t="str">
            <v>CEN2ent</v>
          </cell>
          <cell r="G5">
            <v>15</v>
          </cell>
        </row>
        <row r="6">
          <cell r="D6" t="str">
            <v>MSPm1</v>
          </cell>
          <cell r="G6">
            <v>15</v>
          </cell>
        </row>
        <row r="7">
          <cell r="D7" t="str">
            <v>BIGb0172</v>
          </cell>
          <cell r="G7">
            <v>15</v>
          </cell>
        </row>
        <row r="9">
          <cell r="D9" t="str">
            <v>JUb19</v>
          </cell>
          <cell r="G9">
            <v>14</v>
          </cell>
        </row>
        <row r="10">
          <cell r="D10" t="str">
            <v>JUb66</v>
          </cell>
          <cell r="G10">
            <v>15</v>
          </cell>
        </row>
        <row r="11">
          <cell r="D11" t="str">
            <v>MYb11</v>
          </cell>
          <cell r="G11">
            <v>15</v>
          </cell>
        </row>
        <row r="12">
          <cell r="D12" t="str">
            <v>CEN2ent</v>
          </cell>
          <cell r="G12">
            <v>15</v>
          </cell>
        </row>
        <row r="13">
          <cell r="D13" t="str">
            <v>MSPm1</v>
          </cell>
          <cell r="G13">
            <v>15</v>
          </cell>
        </row>
        <row r="14">
          <cell r="D14" t="str">
            <v>BIGb0172</v>
          </cell>
          <cell r="G14">
            <v>15</v>
          </cell>
        </row>
        <row r="16">
          <cell r="D16" t="str">
            <v>OP50</v>
          </cell>
          <cell r="G16">
            <v>15</v>
          </cell>
        </row>
        <row r="17">
          <cell r="D17" t="str">
            <v>JUb66</v>
          </cell>
          <cell r="G17">
            <v>15</v>
          </cell>
        </row>
        <row r="18">
          <cell r="D18" t="str">
            <v>MYb11</v>
          </cell>
          <cell r="G18">
            <v>15</v>
          </cell>
        </row>
        <row r="19">
          <cell r="D19" t="str">
            <v>CEN2ent</v>
          </cell>
          <cell r="G19">
            <v>15</v>
          </cell>
        </row>
        <row r="20">
          <cell r="D20" t="str">
            <v>MSPm1</v>
          </cell>
          <cell r="G20">
            <v>15</v>
          </cell>
        </row>
        <row r="21">
          <cell r="D21" t="str">
            <v>BIGb0172</v>
          </cell>
          <cell r="G21">
            <v>15</v>
          </cell>
        </row>
        <row r="23">
          <cell r="D23" t="str">
            <v>JUb19</v>
          </cell>
          <cell r="G23">
            <v>15</v>
          </cell>
        </row>
        <row r="24">
          <cell r="D24" t="str">
            <v>JUb66</v>
          </cell>
          <cell r="G24">
            <v>15</v>
          </cell>
        </row>
        <row r="25">
          <cell r="D25" t="str">
            <v>MYb11</v>
          </cell>
          <cell r="G25">
            <v>15</v>
          </cell>
        </row>
        <row r="26">
          <cell r="D26" t="str">
            <v>CEN2ent</v>
          </cell>
          <cell r="G26">
            <v>15</v>
          </cell>
        </row>
        <row r="27">
          <cell r="D27" t="str">
            <v>MSPm1</v>
          </cell>
          <cell r="G27">
            <v>15</v>
          </cell>
        </row>
        <row r="28">
          <cell r="D28" t="str">
            <v>BIGb0172</v>
          </cell>
          <cell r="G28">
            <v>15</v>
          </cell>
        </row>
        <row r="30">
          <cell r="D30" t="str">
            <v>OP50</v>
          </cell>
          <cell r="G30">
            <v>15</v>
          </cell>
        </row>
        <row r="31">
          <cell r="D31" t="str">
            <v>JUb19</v>
          </cell>
          <cell r="G31">
            <v>15</v>
          </cell>
        </row>
        <row r="33">
          <cell r="D33" t="str">
            <v>OP50</v>
          </cell>
          <cell r="G33">
            <v>15</v>
          </cell>
        </row>
        <row r="34">
          <cell r="D34" t="str">
            <v>JUb44</v>
          </cell>
          <cell r="G34">
            <v>15</v>
          </cell>
        </row>
        <row r="35">
          <cell r="D35" t="str">
            <v>MYb10</v>
          </cell>
          <cell r="G35">
            <v>15</v>
          </cell>
        </row>
        <row r="36">
          <cell r="D36" t="str">
            <v>MYb71</v>
          </cell>
          <cell r="G36">
            <v>15</v>
          </cell>
        </row>
        <row r="37">
          <cell r="D37" t="str">
            <v>BIGb0170</v>
          </cell>
          <cell r="G37">
            <v>15</v>
          </cell>
        </row>
        <row r="38">
          <cell r="D38" t="str">
            <v>BIGb0393</v>
          </cell>
          <cell r="G38">
            <v>15</v>
          </cell>
        </row>
        <row r="40">
          <cell r="D40" t="str">
            <v>JUb19</v>
          </cell>
          <cell r="G40">
            <v>15</v>
          </cell>
        </row>
        <row r="41">
          <cell r="D41" t="str">
            <v>JUb44</v>
          </cell>
          <cell r="G41">
            <v>15</v>
          </cell>
        </row>
        <row r="42">
          <cell r="D42" t="str">
            <v>MYb10</v>
          </cell>
          <cell r="G42">
            <v>15</v>
          </cell>
        </row>
        <row r="43">
          <cell r="D43" t="str">
            <v>MYb71</v>
          </cell>
          <cell r="G43">
            <v>15</v>
          </cell>
        </row>
        <row r="44">
          <cell r="D44" t="str">
            <v>BIGb0170</v>
          </cell>
          <cell r="G44">
            <v>15</v>
          </cell>
        </row>
        <row r="45">
          <cell r="D45" t="str">
            <v>BIGb0393</v>
          </cell>
          <cell r="G45">
            <v>18</v>
          </cell>
        </row>
        <row r="47">
          <cell r="D47" t="str">
            <v>JUb19</v>
          </cell>
          <cell r="G47">
            <v>15</v>
          </cell>
        </row>
        <row r="48">
          <cell r="D48" t="str">
            <v>JUb44</v>
          </cell>
          <cell r="G48">
            <v>15</v>
          </cell>
        </row>
        <row r="49">
          <cell r="D49" t="str">
            <v>MYb10</v>
          </cell>
          <cell r="G49">
            <v>15</v>
          </cell>
        </row>
        <row r="50">
          <cell r="D50" t="str">
            <v>JUb134</v>
          </cell>
          <cell r="G50">
            <v>15</v>
          </cell>
        </row>
        <row r="52">
          <cell r="D52" t="str">
            <v>JUb44</v>
          </cell>
          <cell r="G52">
            <v>15</v>
          </cell>
        </row>
        <row r="53">
          <cell r="D53" t="str">
            <v>MYb10</v>
          </cell>
          <cell r="G53">
            <v>15</v>
          </cell>
        </row>
        <row r="54">
          <cell r="D54" t="str">
            <v>MYb71</v>
          </cell>
          <cell r="G54">
            <v>15</v>
          </cell>
        </row>
        <row r="55">
          <cell r="D55" t="str">
            <v>BIGb0170</v>
          </cell>
          <cell r="G55">
            <v>15</v>
          </cell>
        </row>
        <row r="56">
          <cell r="D56" t="str">
            <v>BIGb0393</v>
          </cell>
          <cell r="G56">
            <v>15</v>
          </cell>
        </row>
        <row r="57">
          <cell r="D57" t="str">
            <v>JUb134</v>
          </cell>
          <cell r="G57">
            <v>15</v>
          </cell>
        </row>
        <row r="59">
          <cell r="D59" t="str">
            <v>OP50</v>
          </cell>
          <cell r="G59">
            <v>10</v>
          </cell>
        </row>
        <row r="60">
          <cell r="D60" t="str">
            <v>JUb44</v>
          </cell>
          <cell r="G60">
            <v>15</v>
          </cell>
        </row>
        <row r="61">
          <cell r="D61" t="str">
            <v>MYb10</v>
          </cell>
          <cell r="G61">
            <v>14</v>
          </cell>
        </row>
        <row r="62">
          <cell r="D62" t="str">
            <v>JUb134</v>
          </cell>
          <cell r="G62">
            <v>15</v>
          </cell>
        </row>
        <row r="64">
          <cell r="D64" t="str">
            <v>OP50</v>
          </cell>
          <cell r="G64">
            <v>15</v>
          </cell>
        </row>
        <row r="65">
          <cell r="D65" t="str">
            <v>JUb44</v>
          </cell>
          <cell r="G65">
            <v>15</v>
          </cell>
        </row>
        <row r="66">
          <cell r="D66" t="str">
            <v>MYb10</v>
          </cell>
          <cell r="G66">
            <v>15</v>
          </cell>
        </row>
        <row r="67">
          <cell r="D67" t="str">
            <v>MYb71</v>
          </cell>
          <cell r="G67">
            <v>15</v>
          </cell>
        </row>
        <row r="68">
          <cell r="D68" t="str">
            <v>BIGb0170</v>
          </cell>
          <cell r="G68">
            <v>15</v>
          </cell>
        </row>
        <row r="69">
          <cell r="D69" t="str">
            <v>BIGb0393</v>
          </cell>
          <cell r="G69">
            <v>15</v>
          </cell>
        </row>
        <row r="70">
          <cell r="D70" t="str">
            <v>JUb134</v>
          </cell>
          <cell r="G70">
            <v>15</v>
          </cell>
        </row>
        <row r="72">
          <cell r="D72" t="str">
            <v>OP50</v>
          </cell>
          <cell r="G72">
            <v>15</v>
          </cell>
        </row>
        <row r="73">
          <cell r="D73" t="str">
            <v>JUb134</v>
          </cell>
          <cell r="G73">
            <v>15</v>
          </cell>
        </row>
      </sheetData>
      <sheetData sheetId="1">
        <row r="1">
          <cell r="B1" t="str">
            <v>OP50</v>
          </cell>
          <cell r="C1" t="str">
            <v>JUb19</v>
          </cell>
          <cell r="D1" t="str">
            <v>BIGb0170</v>
          </cell>
          <cell r="E1" t="str">
            <v>BIGb0172</v>
          </cell>
          <cell r="F1" t="str">
            <v>BIGb0393</v>
          </cell>
          <cell r="G1" t="str">
            <v>JUb44</v>
          </cell>
          <cell r="H1" t="str">
            <v>JUb66</v>
          </cell>
          <cell r="I1" t="str">
            <v>JUb134</v>
          </cell>
          <cell r="J1" t="str">
            <v>MYb10</v>
          </cell>
          <cell r="K1" t="str">
            <v>MYb11</v>
          </cell>
          <cell r="L1" t="str">
            <v>MYb71</v>
          </cell>
          <cell r="M1" t="str">
            <v>MSPm1</v>
          </cell>
          <cell r="N1" t="str">
            <v>CEN2ent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A87-1EF8-0546-9BCE-9663E57AD4CF}">
  <dimension ref="A1:G73"/>
  <sheetViews>
    <sheetView workbookViewId="0">
      <selection activeCell="I5" sqref="I5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46056</v>
      </c>
      <c r="B2" s="1" t="s">
        <v>7</v>
      </c>
      <c r="C2" t="s">
        <v>8</v>
      </c>
      <c r="D2" t="s">
        <v>9</v>
      </c>
      <c r="E2" s="2">
        <v>11</v>
      </c>
      <c r="F2">
        <v>15</v>
      </c>
      <c r="G2" s="3">
        <f t="shared" ref="G2:G14" si="0">E2/F2</f>
        <v>0.73333333333333328</v>
      </c>
    </row>
    <row r="3" spans="1:7">
      <c r="A3" s="1">
        <v>46056</v>
      </c>
      <c r="B3" t="s">
        <v>7</v>
      </c>
      <c r="C3" t="s">
        <v>8</v>
      </c>
      <c r="D3" t="s">
        <v>10</v>
      </c>
      <c r="E3">
        <v>3</v>
      </c>
      <c r="F3">
        <v>15</v>
      </c>
      <c r="G3" s="3">
        <f t="shared" si="0"/>
        <v>0.2</v>
      </c>
    </row>
    <row r="4" spans="1:7">
      <c r="A4" s="1">
        <v>46056</v>
      </c>
      <c r="B4" t="s">
        <v>7</v>
      </c>
      <c r="C4" t="s">
        <v>8</v>
      </c>
      <c r="D4" t="s">
        <v>11</v>
      </c>
      <c r="E4">
        <v>7</v>
      </c>
      <c r="F4">
        <v>15</v>
      </c>
      <c r="G4" s="3">
        <f t="shared" si="0"/>
        <v>0.46666666666666667</v>
      </c>
    </row>
    <row r="5" spans="1:7">
      <c r="A5" s="1">
        <v>46056</v>
      </c>
      <c r="B5" t="s">
        <v>7</v>
      </c>
      <c r="C5" t="s">
        <v>8</v>
      </c>
      <c r="D5" t="s">
        <v>12</v>
      </c>
      <c r="E5">
        <v>6</v>
      </c>
      <c r="F5">
        <v>15</v>
      </c>
      <c r="G5" s="3">
        <f t="shared" si="0"/>
        <v>0.4</v>
      </c>
    </row>
    <row r="6" spans="1:7">
      <c r="A6" s="1">
        <v>46056</v>
      </c>
      <c r="B6" s="1" t="s">
        <v>7</v>
      </c>
      <c r="C6" t="s">
        <v>8</v>
      </c>
      <c r="D6" t="s">
        <v>13</v>
      </c>
      <c r="E6">
        <v>3</v>
      </c>
      <c r="F6">
        <v>15</v>
      </c>
      <c r="G6" s="3">
        <f t="shared" si="0"/>
        <v>0.2</v>
      </c>
    </row>
    <row r="7" spans="1:7">
      <c r="A7" s="1">
        <v>46056</v>
      </c>
      <c r="B7" t="s">
        <v>7</v>
      </c>
      <c r="C7" t="s">
        <v>8</v>
      </c>
      <c r="D7" t="s">
        <v>14</v>
      </c>
      <c r="E7">
        <v>7</v>
      </c>
      <c r="F7">
        <v>15</v>
      </c>
      <c r="G7" s="3">
        <f t="shared" si="0"/>
        <v>0.46666666666666667</v>
      </c>
    </row>
    <row r="8" spans="1:7">
      <c r="A8" s="1"/>
      <c r="G8" s="3"/>
    </row>
    <row r="9" spans="1:7">
      <c r="A9" s="1">
        <v>46057</v>
      </c>
      <c r="B9" t="s">
        <v>7</v>
      </c>
      <c r="C9" t="s">
        <v>8</v>
      </c>
      <c r="D9" t="s">
        <v>15</v>
      </c>
      <c r="E9">
        <v>3</v>
      </c>
      <c r="F9">
        <v>14</v>
      </c>
      <c r="G9" s="3">
        <f t="shared" si="0"/>
        <v>0.21428571428571427</v>
      </c>
    </row>
    <row r="10" spans="1:7">
      <c r="A10" s="1">
        <v>46057</v>
      </c>
      <c r="B10" s="1" t="s">
        <v>7</v>
      </c>
      <c r="C10" t="s">
        <v>8</v>
      </c>
      <c r="D10" t="s">
        <v>10</v>
      </c>
      <c r="E10">
        <v>2</v>
      </c>
      <c r="F10">
        <v>15</v>
      </c>
      <c r="G10" s="3">
        <f t="shared" si="0"/>
        <v>0.13333333333333333</v>
      </c>
    </row>
    <row r="11" spans="1:7">
      <c r="A11" s="1">
        <v>46057</v>
      </c>
      <c r="B11" t="s">
        <v>7</v>
      </c>
      <c r="C11" t="s">
        <v>8</v>
      </c>
      <c r="D11" t="s">
        <v>11</v>
      </c>
      <c r="E11">
        <v>7</v>
      </c>
      <c r="F11">
        <v>15</v>
      </c>
      <c r="G11" s="3">
        <f t="shared" si="0"/>
        <v>0.46666666666666667</v>
      </c>
    </row>
    <row r="12" spans="1:7">
      <c r="A12" s="1">
        <v>46057</v>
      </c>
      <c r="B12" t="s">
        <v>7</v>
      </c>
      <c r="C12" t="s">
        <v>8</v>
      </c>
      <c r="D12" t="s">
        <v>12</v>
      </c>
      <c r="E12">
        <v>7</v>
      </c>
      <c r="F12">
        <v>15</v>
      </c>
      <c r="G12" s="3">
        <f t="shared" si="0"/>
        <v>0.46666666666666667</v>
      </c>
    </row>
    <row r="13" spans="1:7">
      <c r="A13" s="1">
        <v>46057</v>
      </c>
      <c r="B13" t="s">
        <v>7</v>
      </c>
      <c r="C13" t="s">
        <v>8</v>
      </c>
      <c r="D13" t="s">
        <v>13</v>
      </c>
      <c r="E13">
        <v>3</v>
      </c>
      <c r="F13">
        <v>15</v>
      </c>
      <c r="G13" s="3">
        <f t="shared" si="0"/>
        <v>0.2</v>
      </c>
    </row>
    <row r="14" spans="1:7">
      <c r="A14" s="1">
        <v>46057</v>
      </c>
      <c r="B14" s="1" t="s">
        <v>7</v>
      </c>
      <c r="C14" t="s">
        <v>8</v>
      </c>
      <c r="D14" t="s">
        <v>14</v>
      </c>
      <c r="E14">
        <v>10</v>
      </c>
      <c r="F14">
        <v>15</v>
      </c>
      <c r="G14" s="3">
        <f t="shared" si="0"/>
        <v>0.66666666666666663</v>
      </c>
    </row>
    <row r="15" spans="1:7">
      <c r="A15" s="1"/>
      <c r="G15" s="3"/>
    </row>
    <row r="16" spans="1:7">
      <c r="A16" s="1">
        <v>46058</v>
      </c>
      <c r="B16" s="1" t="s">
        <v>7</v>
      </c>
      <c r="C16" t="s">
        <v>8</v>
      </c>
      <c r="D16" t="s">
        <v>9</v>
      </c>
      <c r="E16" s="2">
        <v>12</v>
      </c>
      <c r="F16">
        <v>15</v>
      </c>
      <c r="G16" s="3">
        <f t="shared" ref="G16:G21" si="1">E16/F16</f>
        <v>0.8</v>
      </c>
    </row>
    <row r="17" spans="1:7">
      <c r="A17" s="1">
        <v>46058</v>
      </c>
      <c r="B17" t="s">
        <v>7</v>
      </c>
      <c r="C17" t="s">
        <v>8</v>
      </c>
      <c r="D17" t="s">
        <v>10</v>
      </c>
      <c r="E17">
        <v>4</v>
      </c>
      <c r="F17">
        <v>15</v>
      </c>
      <c r="G17" s="3">
        <f t="shared" si="1"/>
        <v>0.26666666666666666</v>
      </c>
    </row>
    <row r="18" spans="1:7">
      <c r="A18" s="1">
        <v>46058</v>
      </c>
      <c r="B18" t="s">
        <v>7</v>
      </c>
      <c r="C18" t="s">
        <v>8</v>
      </c>
      <c r="D18" t="s">
        <v>11</v>
      </c>
      <c r="E18">
        <v>5</v>
      </c>
      <c r="F18">
        <v>15</v>
      </c>
      <c r="G18" s="3">
        <f t="shared" si="1"/>
        <v>0.33333333333333331</v>
      </c>
    </row>
    <row r="19" spans="1:7">
      <c r="A19" s="1">
        <v>46058</v>
      </c>
      <c r="B19" t="s">
        <v>7</v>
      </c>
      <c r="C19" t="s">
        <v>8</v>
      </c>
      <c r="D19" t="s">
        <v>12</v>
      </c>
      <c r="E19">
        <v>4</v>
      </c>
      <c r="F19">
        <v>15</v>
      </c>
      <c r="G19" s="3">
        <f t="shared" si="1"/>
        <v>0.26666666666666666</v>
      </c>
    </row>
    <row r="20" spans="1:7">
      <c r="A20" s="1">
        <v>46058</v>
      </c>
      <c r="B20" s="1" t="s">
        <v>7</v>
      </c>
      <c r="C20" t="s">
        <v>8</v>
      </c>
      <c r="D20" t="s">
        <v>13</v>
      </c>
      <c r="E20">
        <v>1</v>
      </c>
      <c r="F20">
        <v>15</v>
      </c>
      <c r="G20" s="3">
        <f t="shared" si="1"/>
        <v>6.6666666666666666E-2</v>
      </c>
    </row>
    <row r="21" spans="1:7">
      <c r="A21" s="1">
        <v>46058</v>
      </c>
      <c r="B21" t="s">
        <v>7</v>
      </c>
      <c r="C21" t="s">
        <v>8</v>
      </c>
      <c r="D21" t="s">
        <v>14</v>
      </c>
      <c r="E21">
        <v>11</v>
      </c>
      <c r="F21">
        <v>15</v>
      </c>
      <c r="G21" s="3">
        <f t="shared" si="1"/>
        <v>0.73333333333333328</v>
      </c>
    </row>
    <row r="23" spans="1:7">
      <c r="A23" s="1">
        <v>46059</v>
      </c>
      <c r="B23" t="s">
        <v>7</v>
      </c>
      <c r="C23" t="s">
        <v>8</v>
      </c>
      <c r="D23" t="s">
        <v>15</v>
      </c>
      <c r="E23">
        <v>4</v>
      </c>
      <c r="F23">
        <v>15</v>
      </c>
      <c r="G23" s="3">
        <f t="shared" ref="G23:G62" si="2">E23/F23</f>
        <v>0.26666666666666666</v>
      </c>
    </row>
    <row r="24" spans="1:7">
      <c r="A24" s="1">
        <v>46059</v>
      </c>
      <c r="B24" s="1" t="s">
        <v>7</v>
      </c>
      <c r="C24" t="s">
        <v>8</v>
      </c>
      <c r="D24" t="s">
        <v>10</v>
      </c>
      <c r="E24">
        <v>6</v>
      </c>
      <c r="F24">
        <v>15</v>
      </c>
      <c r="G24" s="3">
        <f t="shared" si="2"/>
        <v>0.4</v>
      </c>
    </row>
    <row r="25" spans="1:7">
      <c r="A25" s="1">
        <v>46059</v>
      </c>
      <c r="B25" t="s">
        <v>7</v>
      </c>
      <c r="C25" t="s">
        <v>8</v>
      </c>
      <c r="D25" t="s">
        <v>11</v>
      </c>
      <c r="E25">
        <v>7</v>
      </c>
      <c r="F25">
        <v>15</v>
      </c>
      <c r="G25" s="3">
        <f t="shared" si="2"/>
        <v>0.46666666666666667</v>
      </c>
    </row>
    <row r="26" spans="1:7">
      <c r="A26" s="1">
        <v>46059</v>
      </c>
      <c r="B26" t="s">
        <v>7</v>
      </c>
      <c r="C26" t="s">
        <v>8</v>
      </c>
      <c r="D26" t="s">
        <v>12</v>
      </c>
      <c r="E26">
        <v>5</v>
      </c>
      <c r="F26">
        <v>15</v>
      </c>
      <c r="G26" s="3">
        <f t="shared" si="2"/>
        <v>0.33333333333333331</v>
      </c>
    </row>
    <row r="27" spans="1:7">
      <c r="A27" s="1">
        <v>46059</v>
      </c>
      <c r="B27" t="s">
        <v>7</v>
      </c>
      <c r="C27" t="s">
        <v>8</v>
      </c>
      <c r="D27" t="s">
        <v>13</v>
      </c>
      <c r="E27">
        <v>5</v>
      </c>
      <c r="F27">
        <v>15</v>
      </c>
      <c r="G27" s="3">
        <f t="shared" si="2"/>
        <v>0.33333333333333331</v>
      </c>
    </row>
    <row r="28" spans="1:7">
      <c r="A28" s="1">
        <v>46059</v>
      </c>
      <c r="B28" s="1" t="s">
        <v>7</v>
      </c>
      <c r="C28" t="s">
        <v>8</v>
      </c>
      <c r="D28" t="s">
        <v>14</v>
      </c>
      <c r="E28">
        <v>8</v>
      </c>
      <c r="F28">
        <v>15</v>
      </c>
      <c r="G28" s="3">
        <f t="shared" si="2"/>
        <v>0.53333333333333333</v>
      </c>
    </row>
    <row r="29" spans="1:7">
      <c r="A29" s="1"/>
      <c r="G29" s="3"/>
    </row>
    <row r="30" spans="1:7">
      <c r="A30" s="1">
        <v>46060</v>
      </c>
      <c r="B30" s="1" t="s">
        <v>7</v>
      </c>
      <c r="C30" t="s">
        <v>8</v>
      </c>
      <c r="D30" t="s">
        <v>9</v>
      </c>
      <c r="E30" s="2">
        <v>9</v>
      </c>
      <c r="F30">
        <v>15</v>
      </c>
      <c r="G30" s="3">
        <f t="shared" si="2"/>
        <v>0.6</v>
      </c>
    </row>
    <row r="31" spans="1:7">
      <c r="A31" s="1">
        <v>46060</v>
      </c>
      <c r="B31" t="s">
        <v>7</v>
      </c>
      <c r="C31" t="s">
        <v>8</v>
      </c>
      <c r="D31" t="s">
        <v>15</v>
      </c>
      <c r="E31">
        <v>3</v>
      </c>
      <c r="F31">
        <v>15</v>
      </c>
      <c r="G31" s="3">
        <f t="shared" si="2"/>
        <v>0.2</v>
      </c>
    </row>
    <row r="32" spans="1:7">
      <c r="A32" s="1"/>
      <c r="G32" s="3"/>
    </row>
    <row r="33" spans="1:7">
      <c r="A33" s="1">
        <v>46107</v>
      </c>
      <c r="B33" t="s">
        <v>7</v>
      </c>
      <c r="C33" t="s">
        <v>8</v>
      </c>
      <c r="D33" t="s">
        <v>9</v>
      </c>
      <c r="E33">
        <v>11</v>
      </c>
      <c r="F33">
        <v>15</v>
      </c>
      <c r="G33" s="3">
        <f t="shared" si="2"/>
        <v>0.73333333333333328</v>
      </c>
    </row>
    <row r="34" spans="1:7">
      <c r="A34" s="1">
        <v>46107</v>
      </c>
      <c r="B34" t="s">
        <v>7</v>
      </c>
      <c r="C34" t="s">
        <v>8</v>
      </c>
      <c r="D34" s="4" t="s">
        <v>16</v>
      </c>
      <c r="E34" s="2">
        <v>9</v>
      </c>
      <c r="F34">
        <v>15</v>
      </c>
      <c r="G34" s="3">
        <f t="shared" si="2"/>
        <v>0.6</v>
      </c>
    </row>
    <row r="35" spans="1:7">
      <c r="A35" s="1">
        <v>46107</v>
      </c>
      <c r="B35" t="s">
        <v>7</v>
      </c>
      <c r="C35" t="s">
        <v>8</v>
      </c>
      <c r="D35" s="4" t="s">
        <v>17</v>
      </c>
      <c r="E35" s="2">
        <v>11</v>
      </c>
      <c r="F35">
        <v>15</v>
      </c>
      <c r="G35" s="3">
        <f t="shared" si="2"/>
        <v>0.73333333333333328</v>
      </c>
    </row>
    <row r="36" spans="1:7">
      <c r="A36" s="1">
        <v>46107</v>
      </c>
      <c r="B36" t="s">
        <v>7</v>
      </c>
      <c r="C36" t="s">
        <v>8</v>
      </c>
      <c r="D36" s="4" t="s">
        <v>18</v>
      </c>
      <c r="E36" s="2">
        <v>0</v>
      </c>
      <c r="F36">
        <v>15</v>
      </c>
      <c r="G36" s="3">
        <f t="shared" si="2"/>
        <v>0</v>
      </c>
    </row>
    <row r="37" spans="1:7">
      <c r="A37" s="1">
        <v>46107</v>
      </c>
      <c r="B37" t="s">
        <v>7</v>
      </c>
      <c r="C37" t="s">
        <v>8</v>
      </c>
      <c r="D37" s="4" t="s">
        <v>19</v>
      </c>
      <c r="E37" s="2">
        <v>1</v>
      </c>
      <c r="F37">
        <v>15</v>
      </c>
      <c r="G37" s="3">
        <f t="shared" si="2"/>
        <v>6.6666666666666666E-2</v>
      </c>
    </row>
    <row r="38" spans="1:7">
      <c r="A38" s="1">
        <v>46107</v>
      </c>
      <c r="B38" t="s">
        <v>7</v>
      </c>
      <c r="C38" t="s">
        <v>8</v>
      </c>
      <c r="D38" s="4" t="s">
        <v>20</v>
      </c>
      <c r="E38">
        <v>9</v>
      </c>
      <c r="F38">
        <v>15</v>
      </c>
      <c r="G38" s="3">
        <f t="shared" si="2"/>
        <v>0.6</v>
      </c>
    </row>
    <row r="39" spans="1:7">
      <c r="A39" s="1"/>
      <c r="B39" s="1"/>
      <c r="G39" s="3"/>
    </row>
    <row r="40" spans="1:7">
      <c r="A40" s="1">
        <v>46108</v>
      </c>
      <c r="B40" t="s">
        <v>7</v>
      </c>
      <c r="C40" t="s">
        <v>8</v>
      </c>
      <c r="D40" t="s">
        <v>15</v>
      </c>
      <c r="E40">
        <v>5</v>
      </c>
      <c r="F40">
        <v>15</v>
      </c>
      <c r="G40" s="3">
        <f t="shared" si="2"/>
        <v>0.33333333333333331</v>
      </c>
    </row>
    <row r="41" spans="1:7">
      <c r="A41" s="1">
        <v>46108</v>
      </c>
      <c r="B41" t="s">
        <v>7</v>
      </c>
      <c r="C41" t="s">
        <v>8</v>
      </c>
      <c r="D41" s="4" t="s">
        <v>16</v>
      </c>
      <c r="E41">
        <v>8</v>
      </c>
      <c r="F41">
        <v>15</v>
      </c>
      <c r="G41" s="3">
        <f t="shared" si="2"/>
        <v>0.53333333333333333</v>
      </c>
    </row>
    <row r="42" spans="1:7">
      <c r="A42" s="1">
        <v>46108</v>
      </c>
      <c r="B42" t="s">
        <v>7</v>
      </c>
      <c r="C42" t="s">
        <v>8</v>
      </c>
      <c r="D42" s="4" t="s">
        <v>17</v>
      </c>
      <c r="E42">
        <v>1</v>
      </c>
      <c r="F42">
        <v>15</v>
      </c>
      <c r="G42" s="3">
        <f t="shared" si="2"/>
        <v>6.6666666666666666E-2</v>
      </c>
    </row>
    <row r="43" spans="1:7">
      <c r="A43" s="1">
        <v>46108</v>
      </c>
      <c r="B43" t="s">
        <v>7</v>
      </c>
      <c r="C43" t="s">
        <v>8</v>
      </c>
      <c r="D43" s="4" t="s">
        <v>18</v>
      </c>
      <c r="E43">
        <v>0</v>
      </c>
      <c r="F43">
        <v>15</v>
      </c>
      <c r="G43" s="3">
        <f t="shared" si="2"/>
        <v>0</v>
      </c>
    </row>
    <row r="44" spans="1:7">
      <c r="A44" s="1">
        <v>46108</v>
      </c>
      <c r="B44" t="s">
        <v>7</v>
      </c>
      <c r="C44" t="s">
        <v>8</v>
      </c>
      <c r="D44" s="4" t="s">
        <v>19</v>
      </c>
      <c r="E44">
        <v>4</v>
      </c>
      <c r="F44">
        <v>15</v>
      </c>
      <c r="G44" s="3">
        <f t="shared" si="2"/>
        <v>0.26666666666666666</v>
      </c>
    </row>
    <row r="45" spans="1:7">
      <c r="A45" s="1">
        <v>46108</v>
      </c>
      <c r="B45" t="s">
        <v>7</v>
      </c>
      <c r="C45" t="s">
        <v>8</v>
      </c>
      <c r="D45" s="4" t="s">
        <v>20</v>
      </c>
      <c r="E45">
        <v>15</v>
      </c>
      <c r="F45">
        <v>18</v>
      </c>
      <c r="G45" s="3">
        <f t="shared" si="2"/>
        <v>0.83333333333333337</v>
      </c>
    </row>
    <row r="47" spans="1:7">
      <c r="A47" s="1">
        <v>46113</v>
      </c>
      <c r="B47" t="s">
        <v>7</v>
      </c>
      <c r="C47" t="s">
        <v>8</v>
      </c>
      <c r="D47" t="s">
        <v>15</v>
      </c>
      <c r="E47">
        <v>3</v>
      </c>
      <c r="F47">
        <v>15</v>
      </c>
      <c r="G47" s="3">
        <f t="shared" si="2"/>
        <v>0.2</v>
      </c>
    </row>
    <row r="48" spans="1:7">
      <c r="A48" s="1">
        <v>46113</v>
      </c>
      <c r="B48" t="s">
        <v>7</v>
      </c>
      <c r="C48" t="s">
        <v>8</v>
      </c>
      <c r="D48" s="4" t="s">
        <v>21</v>
      </c>
      <c r="E48">
        <v>3</v>
      </c>
      <c r="F48">
        <v>15</v>
      </c>
      <c r="G48" s="3">
        <f t="shared" si="2"/>
        <v>0.2</v>
      </c>
    </row>
    <row r="49" spans="1:7">
      <c r="A49" s="1">
        <v>46113</v>
      </c>
      <c r="B49" t="s">
        <v>7</v>
      </c>
      <c r="C49" t="s">
        <v>8</v>
      </c>
      <c r="D49" s="4" t="s">
        <v>17</v>
      </c>
      <c r="E49">
        <v>4</v>
      </c>
      <c r="F49">
        <v>15</v>
      </c>
      <c r="G49" s="3">
        <f t="shared" si="2"/>
        <v>0.26666666666666666</v>
      </c>
    </row>
    <row r="50" spans="1:7">
      <c r="A50" s="1">
        <v>46113</v>
      </c>
      <c r="B50" t="s">
        <v>7</v>
      </c>
      <c r="C50" t="s">
        <v>8</v>
      </c>
      <c r="D50" s="4" t="s">
        <v>22</v>
      </c>
      <c r="E50">
        <v>9</v>
      </c>
      <c r="F50">
        <v>15</v>
      </c>
      <c r="G50" s="3">
        <f t="shared" si="2"/>
        <v>0.6</v>
      </c>
    </row>
    <row r="52" spans="1:7">
      <c r="A52" s="1">
        <v>46114</v>
      </c>
      <c r="B52" t="s">
        <v>7</v>
      </c>
      <c r="C52" t="s">
        <v>8</v>
      </c>
      <c r="D52" s="4" t="s">
        <v>16</v>
      </c>
      <c r="E52">
        <v>4</v>
      </c>
      <c r="F52">
        <v>15</v>
      </c>
      <c r="G52" s="3">
        <f t="shared" si="2"/>
        <v>0.26666666666666666</v>
      </c>
    </row>
    <row r="53" spans="1:7">
      <c r="A53" s="1">
        <v>46114</v>
      </c>
      <c r="B53" t="s">
        <v>7</v>
      </c>
      <c r="C53" t="s">
        <v>8</v>
      </c>
      <c r="D53" s="4" t="s">
        <v>17</v>
      </c>
      <c r="E53">
        <v>6</v>
      </c>
      <c r="F53">
        <v>15</v>
      </c>
      <c r="G53" s="3">
        <f t="shared" si="2"/>
        <v>0.4</v>
      </c>
    </row>
    <row r="54" spans="1:7">
      <c r="A54" s="1">
        <v>46114</v>
      </c>
      <c r="B54" t="s">
        <v>7</v>
      </c>
      <c r="C54" t="s">
        <v>8</v>
      </c>
      <c r="D54" s="4" t="s">
        <v>18</v>
      </c>
      <c r="E54">
        <v>1</v>
      </c>
      <c r="F54">
        <v>15</v>
      </c>
      <c r="G54" s="3">
        <f t="shared" si="2"/>
        <v>6.6666666666666666E-2</v>
      </c>
    </row>
    <row r="55" spans="1:7">
      <c r="A55" s="1">
        <v>46114</v>
      </c>
      <c r="B55" t="s">
        <v>7</v>
      </c>
      <c r="C55" t="s">
        <v>8</v>
      </c>
      <c r="D55" s="4" t="s">
        <v>19</v>
      </c>
      <c r="E55">
        <v>3</v>
      </c>
      <c r="F55">
        <v>15</v>
      </c>
      <c r="G55" s="3">
        <f t="shared" si="2"/>
        <v>0.2</v>
      </c>
    </row>
    <row r="56" spans="1:7">
      <c r="A56" s="1">
        <v>46114</v>
      </c>
      <c r="B56" t="s">
        <v>7</v>
      </c>
      <c r="C56" t="s">
        <v>8</v>
      </c>
      <c r="D56" s="4" t="s">
        <v>20</v>
      </c>
      <c r="E56">
        <v>6</v>
      </c>
      <c r="F56">
        <v>15</v>
      </c>
      <c r="G56" s="3">
        <f t="shared" si="2"/>
        <v>0.4</v>
      </c>
    </row>
    <row r="57" spans="1:7">
      <c r="A57" s="1">
        <v>46114</v>
      </c>
      <c r="B57" t="s">
        <v>7</v>
      </c>
      <c r="D57" s="4" t="s">
        <v>22</v>
      </c>
      <c r="E57">
        <v>6</v>
      </c>
      <c r="F57">
        <v>15</v>
      </c>
      <c r="G57" s="3">
        <f t="shared" si="2"/>
        <v>0.4</v>
      </c>
    </row>
    <row r="58" spans="1:7">
      <c r="C58" t="s">
        <v>8</v>
      </c>
    </row>
    <row r="59" spans="1:7">
      <c r="A59" s="1">
        <v>46122</v>
      </c>
      <c r="B59" t="s">
        <v>7</v>
      </c>
      <c r="C59" t="s">
        <v>8</v>
      </c>
      <c r="D59" s="4" t="s">
        <v>9</v>
      </c>
      <c r="E59">
        <v>4</v>
      </c>
      <c r="F59">
        <v>10</v>
      </c>
      <c r="G59" s="3">
        <f t="shared" ref="G59" si="3">E59/F59</f>
        <v>0.4</v>
      </c>
    </row>
    <row r="60" spans="1:7">
      <c r="A60" s="1">
        <v>46122</v>
      </c>
      <c r="B60" t="s">
        <v>7</v>
      </c>
      <c r="C60" t="s">
        <v>8</v>
      </c>
      <c r="D60" s="4" t="s">
        <v>16</v>
      </c>
      <c r="E60">
        <v>6</v>
      </c>
      <c r="F60">
        <v>15</v>
      </c>
      <c r="G60" s="3">
        <f t="shared" si="2"/>
        <v>0.4</v>
      </c>
    </row>
    <row r="61" spans="1:7">
      <c r="A61" s="1">
        <v>46122</v>
      </c>
      <c r="B61" t="s">
        <v>7</v>
      </c>
      <c r="C61" t="s">
        <v>8</v>
      </c>
      <c r="D61" s="4" t="s">
        <v>17</v>
      </c>
      <c r="E61">
        <v>1</v>
      </c>
      <c r="F61">
        <v>14</v>
      </c>
      <c r="G61" s="3">
        <f t="shared" si="2"/>
        <v>7.1428571428571425E-2</v>
      </c>
    </row>
    <row r="62" spans="1:7">
      <c r="A62" s="1">
        <v>46122</v>
      </c>
      <c r="B62" t="s">
        <v>7</v>
      </c>
      <c r="C62" t="s">
        <v>8</v>
      </c>
      <c r="D62" s="4" t="s">
        <v>22</v>
      </c>
      <c r="E62">
        <v>14</v>
      </c>
      <c r="F62">
        <v>15</v>
      </c>
      <c r="G62" s="3">
        <f t="shared" si="2"/>
        <v>0.93333333333333335</v>
      </c>
    </row>
    <row r="64" spans="1:7">
      <c r="A64" s="1">
        <v>46127</v>
      </c>
      <c r="B64" t="s">
        <v>7</v>
      </c>
      <c r="C64" t="s">
        <v>8</v>
      </c>
      <c r="D64" s="4" t="s">
        <v>9</v>
      </c>
      <c r="E64">
        <v>5</v>
      </c>
      <c r="F64">
        <v>15</v>
      </c>
      <c r="G64" s="3">
        <f t="shared" ref="G64:G70" si="4">E64/F64</f>
        <v>0.33333333333333331</v>
      </c>
    </row>
    <row r="65" spans="1:7">
      <c r="A65" s="1">
        <v>46127</v>
      </c>
      <c r="B65" t="s">
        <v>7</v>
      </c>
      <c r="C65" t="s">
        <v>8</v>
      </c>
      <c r="D65" s="4" t="s">
        <v>16</v>
      </c>
      <c r="E65">
        <v>2</v>
      </c>
      <c r="F65">
        <v>15</v>
      </c>
      <c r="G65" s="3">
        <f t="shared" si="4"/>
        <v>0.13333333333333333</v>
      </c>
    </row>
    <row r="66" spans="1:7">
      <c r="A66" s="1">
        <v>46127</v>
      </c>
      <c r="B66" t="s">
        <v>7</v>
      </c>
      <c r="C66" t="s">
        <v>8</v>
      </c>
      <c r="D66" s="4" t="s">
        <v>17</v>
      </c>
      <c r="E66">
        <v>4</v>
      </c>
      <c r="F66">
        <v>15</v>
      </c>
      <c r="G66" s="3">
        <f t="shared" si="4"/>
        <v>0.26666666666666666</v>
      </c>
    </row>
    <row r="67" spans="1:7">
      <c r="A67" s="1">
        <v>46127</v>
      </c>
      <c r="B67" t="s">
        <v>7</v>
      </c>
      <c r="C67" t="s">
        <v>8</v>
      </c>
      <c r="D67" s="4" t="s">
        <v>18</v>
      </c>
      <c r="E67">
        <v>0</v>
      </c>
      <c r="F67">
        <v>15</v>
      </c>
      <c r="G67" s="3">
        <f t="shared" si="4"/>
        <v>0</v>
      </c>
    </row>
    <row r="68" spans="1:7">
      <c r="A68" s="1">
        <v>46127</v>
      </c>
      <c r="B68" t="s">
        <v>7</v>
      </c>
      <c r="C68" t="s">
        <v>8</v>
      </c>
      <c r="D68" s="4" t="s">
        <v>19</v>
      </c>
      <c r="E68">
        <v>0</v>
      </c>
      <c r="F68">
        <v>15</v>
      </c>
      <c r="G68" s="3">
        <f t="shared" si="4"/>
        <v>0</v>
      </c>
    </row>
    <row r="69" spans="1:7">
      <c r="A69" s="1">
        <v>46127</v>
      </c>
      <c r="B69" t="s">
        <v>7</v>
      </c>
      <c r="C69" t="s">
        <v>8</v>
      </c>
      <c r="D69" s="4" t="s">
        <v>20</v>
      </c>
      <c r="E69">
        <v>4</v>
      </c>
      <c r="F69">
        <v>15</v>
      </c>
      <c r="G69" s="3">
        <f t="shared" si="4"/>
        <v>0.26666666666666666</v>
      </c>
    </row>
    <row r="70" spans="1:7">
      <c r="A70" s="1">
        <v>46127</v>
      </c>
      <c r="B70" t="s">
        <v>7</v>
      </c>
      <c r="C70" t="s">
        <v>8</v>
      </c>
      <c r="D70" s="4" t="s">
        <v>22</v>
      </c>
      <c r="E70">
        <v>10</v>
      </c>
      <c r="F70">
        <v>15</v>
      </c>
      <c r="G70" s="3">
        <f t="shared" si="4"/>
        <v>0.66666666666666663</v>
      </c>
    </row>
    <row r="72" spans="1:7">
      <c r="A72" s="1">
        <v>46128</v>
      </c>
      <c r="B72" t="s">
        <v>7</v>
      </c>
      <c r="C72" t="s">
        <v>8</v>
      </c>
      <c r="D72" s="4" t="s">
        <v>9</v>
      </c>
      <c r="E72">
        <v>12</v>
      </c>
      <c r="F72">
        <v>15</v>
      </c>
      <c r="G72" s="3">
        <f t="shared" ref="G72:G73" si="5">E72/F72</f>
        <v>0.8</v>
      </c>
    </row>
    <row r="73" spans="1:7">
      <c r="A73" s="1">
        <v>46128</v>
      </c>
      <c r="B73" t="s">
        <v>7</v>
      </c>
      <c r="C73" t="s">
        <v>8</v>
      </c>
      <c r="D73" s="4" t="s">
        <v>22</v>
      </c>
      <c r="E73">
        <v>12</v>
      </c>
      <c r="F73">
        <v>15</v>
      </c>
      <c r="G73" s="3">
        <f t="shared" si="5"/>
        <v>0.8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7155-DE95-754D-90D0-7605E146F8E1}">
  <dimension ref="A1:W38"/>
  <sheetViews>
    <sheetView tabSelected="1" workbookViewId="0">
      <selection activeCell="C31" sqref="C31"/>
    </sheetView>
  </sheetViews>
  <sheetFormatPr baseColWidth="10" defaultRowHeight="15"/>
  <cols>
    <col min="1" max="14" width="10.83203125" style="5"/>
    <col min="24" max="16384" width="10.83203125" style="5"/>
  </cols>
  <sheetData>
    <row r="1" spans="1:23">
      <c r="A1" s="5" t="s">
        <v>0</v>
      </c>
      <c r="B1" s="6" t="s">
        <v>23</v>
      </c>
      <c r="C1" s="6" t="s">
        <v>24</v>
      </c>
      <c r="D1" s="6" t="s">
        <v>19</v>
      </c>
      <c r="E1" s="6" t="s">
        <v>14</v>
      </c>
      <c r="F1" s="6" t="s">
        <v>20</v>
      </c>
      <c r="G1" s="6" t="s">
        <v>16</v>
      </c>
      <c r="H1" s="6" t="s">
        <v>25</v>
      </c>
      <c r="I1" s="6" t="s">
        <v>26</v>
      </c>
      <c r="J1" s="6" t="s">
        <v>17</v>
      </c>
      <c r="K1" s="6" t="s">
        <v>27</v>
      </c>
      <c r="L1" s="6" t="s">
        <v>18</v>
      </c>
      <c r="M1" s="6" t="s">
        <v>13</v>
      </c>
      <c r="N1" s="6" t="s">
        <v>12</v>
      </c>
      <c r="O1" s="5"/>
      <c r="P1" s="5"/>
      <c r="Q1" s="5"/>
      <c r="R1" s="5"/>
      <c r="S1" s="5"/>
      <c r="T1" s="5"/>
      <c r="U1" s="5"/>
      <c r="V1" s="5"/>
      <c r="W1" s="5"/>
    </row>
    <row r="2" spans="1:23">
      <c r="A2" s="7">
        <v>46056</v>
      </c>
      <c r="B2" s="6">
        <v>0.73333333333333328</v>
      </c>
      <c r="C2" s="6"/>
      <c r="D2" s="6"/>
      <c r="E2" s="6">
        <v>0.46666666666666667</v>
      </c>
      <c r="F2" s="6"/>
      <c r="G2" s="6"/>
      <c r="H2" s="6">
        <v>0.2</v>
      </c>
      <c r="J2" s="6"/>
      <c r="K2" s="6">
        <v>0.46666666666666667</v>
      </c>
      <c r="L2" s="6"/>
      <c r="M2" s="6">
        <v>0.2</v>
      </c>
      <c r="N2" s="6">
        <v>0.4</v>
      </c>
    </row>
    <row r="3" spans="1:23">
      <c r="A3" s="7">
        <v>46057</v>
      </c>
      <c r="B3" s="6"/>
      <c r="C3" s="8">
        <v>0.21428571428571427</v>
      </c>
      <c r="D3" s="6"/>
      <c r="E3" s="8">
        <v>0.66666666666666663</v>
      </c>
      <c r="F3" s="6"/>
      <c r="G3" s="6"/>
      <c r="H3" s="8">
        <v>0.13333333333333333</v>
      </c>
      <c r="J3" s="6"/>
      <c r="K3" s="8">
        <v>0.46666666666666667</v>
      </c>
      <c r="L3" s="6"/>
      <c r="M3" s="8">
        <v>0.2</v>
      </c>
      <c r="N3" s="6">
        <v>0.46666666666666667</v>
      </c>
    </row>
    <row r="4" spans="1:23">
      <c r="A4" s="7">
        <v>46058</v>
      </c>
      <c r="B4" s="6">
        <v>0.8</v>
      </c>
      <c r="C4" s="6"/>
      <c r="D4" s="6"/>
      <c r="E4" s="6">
        <v>0.73333333333333328</v>
      </c>
      <c r="F4" s="6"/>
      <c r="G4" s="6"/>
      <c r="H4" s="6">
        <v>0.26666666666666666</v>
      </c>
      <c r="J4" s="6"/>
      <c r="K4" s="6">
        <v>0.33333333333333331</v>
      </c>
      <c r="L4" s="6"/>
      <c r="M4" s="6">
        <v>6.6666666666666666E-2</v>
      </c>
      <c r="N4" s="6">
        <v>0.26666666666666666</v>
      </c>
    </row>
    <row r="5" spans="1:23">
      <c r="A5" s="7">
        <v>46059</v>
      </c>
      <c r="B5" s="6"/>
      <c r="C5" s="8">
        <v>0.2857142857142857</v>
      </c>
      <c r="D5" s="6"/>
      <c r="E5" s="8">
        <v>0.53333333333333333</v>
      </c>
      <c r="F5" s="6"/>
      <c r="G5" s="6"/>
      <c r="H5" s="8">
        <v>0.4</v>
      </c>
      <c r="J5" s="6"/>
      <c r="K5" s="6">
        <v>0.46666666666666667</v>
      </c>
      <c r="L5" s="6"/>
      <c r="M5" s="8">
        <v>0.33333333333333331</v>
      </c>
      <c r="N5" s="8">
        <v>0.33333333333333331</v>
      </c>
    </row>
    <row r="6" spans="1:23">
      <c r="A6" s="9">
        <v>46060</v>
      </c>
      <c r="B6" s="8">
        <v>0.6</v>
      </c>
      <c r="C6" s="6">
        <v>0.2</v>
      </c>
      <c r="E6" s="6"/>
      <c r="H6" s="6"/>
      <c r="K6" s="6"/>
      <c r="M6" s="6"/>
      <c r="N6" s="6"/>
    </row>
    <row r="7" spans="1:23">
      <c r="A7" s="9">
        <v>46107</v>
      </c>
      <c r="B7" s="8">
        <v>0.73333333333333328</v>
      </c>
      <c r="C7" s="6"/>
      <c r="D7" s="6">
        <v>6.6666666666666666E-2</v>
      </c>
      <c r="E7" s="6"/>
      <c r="F7" s="6">
        <v>0.6</v>
      </c>
      <c r="G7" s="6">
        <v>0.6</v>
      </c>
      <c r="H7" s="6"/>
      <c r="J7" s="6">
        <v>0.73333333333333328</v>
      </c>
      <c r="K7" s="6"/>
      <c r="L7" s="6">
        <v>0</v>
      </c>
      <c r="M7" s="6"/>
      <c r="N7" s="6"/>
    </row>
    <row r="8" spans="1:23">
      <c r="A8" s="7">
        <v>46108</v>
      </c>
      <c r="B8" s="6"/>
      <c r="C8" s="6">
        <v>0.33333333333333331</v>
      </c>
      <c r="D8" s="6">
        <v>0.26666666666666666</v>
      </c>
      <c r="E8" s="6"/>
      <c r="F8" s="6">
        <v>0.83333333333333337</v>
      </c>
      <c r="G8" s="6">
        <v>0.53333333333333333</v>
      </c>
      <c r="H8" s="6"/>
      <c r="I8" s="6"/>
      <c r="J8" s="6">
        <v>6.6666666666666666E-2</v>
      </c>
      <c r="K8" s="6"/>
      <c r="L8" s="6">
        <v>0</v>
      </c>
      <c r="M8" s="6"/>
      <c r="N8" s="6"/>
    </row>
    <row r="9" spans="1:23">
      <c r="A9" s="7">
        <v>46113</v>
      </c>
      <c r="B9" s="6"/>
      <c r="C9" s="6">
        <v>0.2</v>
      </c>
      <c r="D9" s="6"/>
      <c r="E9" s="6"/>
      <c r="F9" s="6"/>
      <c r="G9" s="6">
        <v>0.2</v>
      </c>
      <c r="H9" s="6"/>
      <c r="I9" s="6">
        <v>0.6</v>
      </c>
      <c r="J9" s="6">
        <v>0.26666666666666666</v>
      </c>
      <c r="K9" s="6"/>
      <c r="L9" s="6"/>
      <c r="M9" s="6"/>
      <c r="N9" s="6"/>
    </row>
    <row r="10" spans="1:23">
      <c r="A10" s="7">
        <v>46114</v>
      </c>
      <c r="B10" s="6"/>
      <c r="D10" s="6">
        <v>0.2</v>
      </c>
      <c r="F10" s="6">
        <v>0.4</v>
      </c>
      <c r="G10" s="8">
        <v>0.26666666666666666</v>
      </c>
      <c r="I10" s="6">
        <v>0.4</v>
      </c>
      <c r="J10" s="6">
        <v>0.4</v>
      </c>
      <c r="L10" s="6">
        <v>6.6666666666666666E-2</v>
      </c>
    </row>
    <row r="11" spans="1:23">
      <c r="A11" s="7">
        <v>46122</v>
      </c>
      <c r="B11" s="6">
        <v>0.4</v>
      </c>
      <c r="D11" s="6"/>
      <c r="E11" s="6"/>
      <c r="F11" s="6"/>
      <c r="G11" s="6">
        <v>0.4</v>
      </c>
      <c r="H11" s="6"/>
      <c r="I11" s="6">
        <v>0.93333333333333335</v>
      </c>
      <c r="J11" s="6">
        <v>7.1428571428571425E-2</v>
      </c>
      <c r="K11" s="6"/>
      <c r="L11" s="6"/>
      <c r="M11" s="6"/>
      <c r="N11" s="6"/>
    </row>
    <row r="12" spans="1:23">
      <c r="A12" s="7">
        <v>46127</v>
      </c>
      <c r="B12" s="6">
        <v>0.33333333333333331</v>
      </c>
      <c r="D12" s="6">
        <v>0</v>
      </c>
      <c r="E12" s="6"/>
      <c r="F12" s="6">
        <v>0.26666666666666666</v>
      </c>
      <c r="G12" s="6">
        <v>0.13333333333333333</v>
      </c>
      <c r="H12" s="6"/>
      <c r="I12" s="6">
        <v>0.66666666666666663</v>
      </c>
      <c r="J12" s="6">
        <v>0.26666666666666666</v>
      </c>
      <c r="K12" s="6"/>
      <c r="L12" s="6">
        <v>0</v>
      </c>
      <c r="M12" s="6"/>
      <c r="N12" s="6"/>
    </row>
    <row r="13" spans="1:23">
      <c r="A13" s="7">
        <v>46128</v>
      </c>
      <c r="B13" s="6">
        <v>0.8</v>
      </c>
      <c r="C13" s="6"/>
      <c r="D13" s="6"/>
      <c r="E13" s="6"/>
      <c r="F13" s="6"/>
      <c r="G13" s="6"/>
      <c r="H13" s="6"/>
      <c r="I13" s="6">
        <v>0.8</v>
      </c>
      <c r="J13" s="6"/>
      <c r="K13" s="6"/>
      <c r="L13" s="6"/>
      <c r="M13" s="6"/>
      <c r="N13" s="6"/>
    </row>
    <row r="14" spans="1:23">
      <c r="A14" s="5" t="s">
        <v>28</v>
      </c>
      <c r="B14" s="5">
        <f>SUMIF([1]sum!$D$2:$D$73,'[1]JUb19 '!B1,[1]sum!$G$2:$G$73)</f>
        <v>100</v>
      </c>
      <c r="C14" s="5">
        <f>SUMIF([1]sum!$D$2:$D$73,'[1]JUb19 '!C1,[1]sum!$G$2:$G$73)</f>
        <v>74</v>
      </c>
      <c r="D14" s="5">
        <f>SUMIF([1]sum!$D$2:$D$73,'[1]JUb19 '!D1,[1]sum!$G$2:$G$73)</f>
        <v>60</v>
      </c>
      <c r="E14" s="5">
        <f>SUMIF([1]sum!$D$2:$D$73,'[1]JUb19 '!E1,[1]sum!$G$2:$G$73)</f>
        <v>60</v>
      </c>
      <c r="F14" s="5">
        <f>SUMIF([1]sum!$D$2:$D$73,'[1]JUb19 '!F1,[1]sum!$G$2:$G$73)</f>
        <v>63</v>
      </c>
      <c r="G14" s="5">
        <f>SUMIF([1]sum!$D$2:$D$73,'[1]JUb19 '!G1,[1]sum!$G$2:$G$73)</f>
        <v>90</v>
      </c>
      <c r="H14" s="5">
        <f>SUMIF([1]sum!$D$2:$D$73,'[1]JUb19 '!H1,[1]sum!$G$2:$G$73)</f>
        <v>60</v>
      </c>
      <c r="I14" s="5">
        <f>SUMIF([1]sum!$D$2:$D$73,'[1]JUb19 '!I1,[1]sum!$G$2:$G$73)</f>
        <v>75</v>
      </c>
      <c r="J14" s="5">
        <f>SUMIF([1]sum!$D$2:$D$73,'[1]JUb19 '!J1,[1]sum!$G$2:$G$73)</f>
        <v>89</v>
      </c>
      <c r="K14" s="5">
        <f>SUMIF([1]sum!$D$2:$D$73,'[1]JUb19 '!K1,[1]sum!$G$2:$G$73)</f>
        <v>60</v>
      </c>
      <c r="L14" s="5">
        <f>SUMIF([1]sum!$D$2:$D$73,'[1]JUb19 '!L1,[1]sum!$G$2:$G$73)</f>
        <v>60</v>
      </c>
      <c r="M14" s="5">
        <f>SUMIF([1]sum!$D$2:$D$73,'[1]JUb19 '!M1,[1]sum!$G$2:$G$73)</f>
        <v>60</v>
      </c>
      <c r="N14" s="5">
        <f>SUMIF([1]sum!$D$2:$D$73,'[1]JUb19 '!N1,[1]sum!$G$2:$G$73)</f>
        <v>60</v>
      </c>
    </row>
    <row r="15" spans="1:23">
      <c r="B15" s="6"/>
      <c r="C15" s="6"/>
      <c r="D15" s="6"/>
      <c r="E15" s="6"/>
      <c r="F15" s="6"/>
      <c r="H15" s="6"/>
      <c r="I15" s="6"/>
      <c r="K15" s="6"/>
      <c r="M15" s="6"/>
      <c r="N15" s="6"/>
    </row>
    <row r="16" spans="1:23">
      <c r="B16" s="6"/>
      <c r="C16" s="6"/>
      <c r="D16" s="6"/>
      <c r="E16" s="6"/>
      <c r="F16" s="6"/>
      <c r="H16" s="6"/>
      <c r="I16" s="6"/>
      <c r="K16" s="6"/>
      <c r="M16" s="6"/>
      <c r="N16" s="6"/>
    </row>
    <row r="17" spans="2:14">
      <c r="C17" s="6"/>
      <c r="D17" s="6"/>
      <c r="E17" s="6"/>
      <c r="F17" s="6"/>
      <c r="H17" s="6"/>
      <c r="I17" s="6"/>
      <c r="K17" s="6"/>
      <c r="M17" s="6"/>
      <c r="N17" s="6"/>
    </row>
    <row r="18" spans="2:14">
      <c r="C18" s="6"/>
      <c r="D18" s="6"/>
      <c r="E18" s="6"/>
      <c r="F18" s="6"/>
      <c r="H18" s="6"/>
      <c r="I18" s="6"/>
      <c r="K18" s="6"/>
      <c r="M18" s="6"/>
      <c r="N18" s="6"/>
    </row>
    <row r="19" spans="2:14">
      <c r="C19" s="6"/>
      <c r="D19" s="6"/>
      <c r="E19" s="6"/>
      <c r="F19" s="6"/>
      <c r="H19" s="6"/>
      <c r="I19" s="6"/>
      <c r="K19" s="6"/>
      <c r="N19" s="6"/>
    </row>
    <row r="20" spans="2:14">
      <c r="C20" s="6"/>
      <c r="D20" s="6"/>
      <c r="E20" s="6"/>
      <c r="F20" s="6"/>
      <c r="H20" s="6"/>
      <c r="I20" s="6"/>
      <c r="K20" s="6"/>
      <c r="N20" s="6"/>
    </row>
    <row r="21" spans="2:14">
      <c r="C21" s="7"/>
      <c r="D21" s="6"/>
      <c r="F21" s="6"/>
      <c r="H21" s="6"/>
      <c r="K21" s="6"/>
      <c r="N21" s="6"/>
    </row>
    <row r="22" spans="2:14">
      <c r="C22" s="7"/>
      <c r="D22" s="6"/>
      <c r="F22" s="6"/>
      <c r="H22" s="6"/>
      <c r="K22" s="6"/>
      <c r="N22" s="6"/>
    </row>
    <row r="23" spans="2:14">
      <c r="C23" s="7"/>
      <c r="D23" s="6"/>
      <c r="F23" s="6"/>
      <c r="H23" s="6"/>
      <c r="K23" s="6"/>
      <c r="N23" s="6"/>
    </row>
    <row r="24" spans="2:14">
      <c r="C24" s="7"/>
      <c r="D24" s="6"/>
      <c r="F24" s="6"/>
      <c r="H24" s="6"/>
      <c r="K24" s="6"/>
      <c r="M24" s="6"/>
      <c r="N24" s="6"/>
    </row>
    <row r="25" spans="2:14">
      <c r="D25" s="6"/>
      <c r="F25" s="6"/>
      <c r="H25" s="6"/>
      <c r="K25" s="6"/>
      <c r="M25" s="6"/>
      <c r="N25" s="6"/>
    </row>
    <row r="26" spans="2:14">
      <c r="B26" s="6"/>
      <c r="C26" s="7"/>
      <c r="D26" s="6"/>
      <c r="F26" s="6"/>
      <c r="H26" s="6"/>
      <c r="K26" s="6"/>
      <c r="M26" s="6"/>
      <c r="N26" s="6"/>
    </row>
    <row r="27" spans="2:14">
      <c r="B27" s="6"/>
      <c r="C27" s="7"/>
      <c r="D27" s="6"/>
      <c r="F27" s="6"/>
      <c r="H27" s="6"/>
      <c r="K27" s="6"/>
      <c r="M27" s="6"/>
      <c r="N27" s="6"/>
    </row>
    <row r="28" spans="2:14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2:14">
      <c r="B29" s="6"/>
      <c r="C29" s="8"/>
      <c r="D29" s="10"/>
      <c r="F29" s="6"/>
      <c r="G29" s="11"/>
      <c r="H29" s="6"/>
      <c r="K29" s="6"/>
      <c r="M29" s="10"/>
      <c r="N29" s="6"/>
    </row>
    <row r="30" spans="2:14">
      <c r="B30" s="6"/>
      <c r="C30" s="8"/>
      <c r="D30" s="10"/>
      <c r="F30" s="6"/>
      <c r="G30" s="11"/>
      <c r="H30" s="6"/>
      <c r="K30" s="6"/>
      <c r="M30" s="10"/>
      <c r="N30" s="6"/>
    </row>
    <row r="31" spans="2:14">
      <c r="B31" s="6"/>
      <c r="C31" s="7"/>
      <c r="D31" s="11"/>
      <c r="F31" s="6"/>
      <c r="G31" s="12"/>
      <c r="H31" s="6"/>
      <c r="K31" s="6"/>
      <c r="L31" s="8"/>
      <c r="M31" s="10"/>
      <c r="N31" s="6"/>
    </row>
    <row r="32" spans="2:14">
      <c r="B32" s="6"/>
      <c r="D32" s="11"/>
      <c r="F32" s="6"/>
      <c r="G32" s="12"/>
      <c r="H32" s="6"/>
      <c r="K32" s="6"/>
      <c r="L32" s="8"/>
      <c r="M32" s="10"/>
      <c r="N32" s="6"/>
    </row>
    <row r="33" spans="2:14">
      <c r="B33" s="6"/>
      <c r="D33" s="11"/>
      <c r="F33" s="6"/>
      <c r="H33" s="6"/>
      <c r="K33" s="6"/>
      <c r="L33" s="8"/>
      <c r="M33" s="10"/>
      <c r="N33" s="6"/>
    </row>
    <row r="34" spans="2:14">
      <c r="B34" s="6"/>
      <c r="D34" s="6"/>
      <c r="F34" s="6"/>
      <c r="H34" s="6"/>
      <c r="K34" s="6"/>
      <c r="M34" s="6"/>
      <c r="N34" s="6"/>
    </row>
    <row r="35" spans="2:14">
      <c r="B35" s="6"/>
      <c r="D35" s="6"/>
      <c r="F35" s="6"/>
      <c r="H35" s="6"/>
      <c r="K35" s="6"/>
      <c r="M35" s="6"/>
      <c r="N35" s="6"/>
    </row>
    <row r="36" spans="2:14">
      <c r="B36" s="6"/>
      <c r="D36" s="6"/>
      <c r="F36" s="6"/>
      <c r="H36" s="6"/>
      <c r="K36" s="6"/>
      <c r="M36" s="6"/>
      <c r="N36" s="6"/>
    </row>
    <row r="37" spans="2:14">
      <c r="B37" s="6"/>
      <c r="D37" s="6"/>
      <c r="F37" s="6"/>
      <c r="H37" s="6"/>
      <c r="K37" s="6"/>
      <c r="M37" s="6"/>
      <c r="N37" s="6"/>
    </row>
    <row r="38" spans="2:14">
      <c r="B38" s="6"/>
      <c r="D38" s="6"/>
      <c r="F38" s="6"/>
      <c r="H38" s="6"/>
      <c r="K38" s="6"/>
      <c r="M38" s="6"/>
      <c r="N38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王婕</dc:creator>
  <cp:lastModifiedBy>王婕</cp:lastModifiedBy>
  <dcterms:created xsi:type="dcterms:W3CDTF">2026-04-26T15:27:39Z</dcterms:created>
  <dcterms:modified xsi:type="dcterms:W3CDTF">2026-04-26T15:28:38Z</dcterms:modified>
</cp:coreProperties>
</file>