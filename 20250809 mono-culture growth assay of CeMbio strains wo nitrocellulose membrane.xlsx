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tu\11_kekelab\cElegent_project_AS\"/>
    </mc:Choice>
  </mc:AlternateContent>
  <xr:revisionPtr revIDLastSave="0" documentId="13_ncr:1_{973FA126-4029-4C6B-8A2B-16AD9D9DAAB1}" xr6:coauthVersionLast="47" xr6:coauthVersionMax="47" xr10:uidLastSave="{00000000-0000-0000-0000-000000000000}"/>
  <bookViews>
    <workbookView xWindow="0" yWindow="300" windowWidth="29040" windowHeight="15840" activeTab="1" xr2:uid="{E6C32BF8-1525-434E-B7DA-A8551CFC3E33}"/>
  </bookViews>
  <sheets>
    <sheet name="0 hr" sheetId="4" r:id="rId1"/>
    <sheet name="24 hr" sheetId="9" r:id="rId2"/>
    <sheet name="工作表1" sheetId="10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0" l="1"/>
  <c r="E9" i="10" s="1"/>
  <c r="B4" i="10"/>
  <c r="B5" i="10" s="1"/>
  <c r="C23" i="9"/>
  <c r="D23" i="9"/>
  <c r="B23" i="9"/>
  <c r="C17" i="9"/>
  <c r="D17" i="9"/>
  <c r="E17" i="9"/>
  <c r="F17" i="9"/>
  <c r="G17" i="9"/>
  <c r="H17" i="9"/>
  <c r="I17" i="9"/>
  <c r="J17" i="9"/>
  <c r="K17" i="9"/>
  <c r="L17" i="9"/>
  <c r="M17" i="9"/>
  <c r="B17" i="9"/>
  <c r="C11" i="9"/>
  <c r="D11" i="9"/>
  <c r="E11" i="9"/>
  <c r="F11" i="9"/>
  <c r="G11" i="9"/>
  <c r="H11" i="9"/>
  <c r="I11" i="9"/>
  <c r="J11" i="9"/>
  <c r="K11" i="9"/>
  <c r="L11" i="9"/>
  <c r="M11" i="9"/>
  <c r="B11" i="9"/>
  <c r="C5" i="9"/>
  <c r="D5" i="9"/>
  <c r="D6" i="9" s="1"/>
  <c r="E5" i="9"/>
  <c r="E6" i="9" s="1"/>
  <c r="F5" i="9"/>
  <c r="G5" i="9"/>
  <c r="H5" i="9"/>
  <c r="I5" i="9"/>
  <c r="J5" i="9"/>
  <c r="K5" i="9"/>
  <c r="L5" i="9"/>
  <c r="L6" i="9" s="1"/>
  <c r="M5" i="9"/>
  <c r="C6" i="9"/>
  <c r="F6" i="9"/>
  <c r="G6" i="9"/>
  <c r="H6" i="9"/>
  <c r="I6" i="9"/>
  <c r="J6" i="9"/>
  <c r="K6" i="9"/>
  <c r="M6" i="9"/>
  <c r="B5" i="9"/>
  <c r="D24" i="9" l="1"/>
  <c r="C24" i="9"/>
  <c r="B24" i="9"/>
  <c r="D23" i="4"/>
  <c r="D24" i="4" s="1"/>
  <c r="C23" i="4"/>
  <c r="C24" i="4" s="1"/>
  <c r="B23" i="4"/>
  <c r="B24" i="4" s="1"/>
  <c r="M18" i="9" l="1"/>
  <c r="L18" i="9"/>
  <c r="K18" i="9"/>
  <c r="J18" i="9"/>
  <c r="I18" i="9"/>
  <c r="H18" i="9"/>
  <c r="G18" i="9"/>
  <c r="F18" i="9"/>
  <c r="E18" i="9"/>
  <c r="D18" i="9"/>
  <c r="C18" i="9"/>
  <c r="B18" i="9"/>
  <c r="M12" i="9"/>
  <c r="L12" i="9"/>
  <c r="K12" i="9"/>
  <c r="J12" i="9"/>
  <c r="I12" i="9"/>
  <c r="H12" i="9"/>
  <c r="G12" i="9"/>
  <c r="F12" i="9"/>
  <c r="E12" i="9"/>
  <c r="D12" i="9"/>
  <c r="C12" i="9"/>
  <c r="B12" i="9"/>
  <c r="B6" i="9"/>
  <c r="E17" i="4"/>
  <c r="E18" i="4" s="1"/>
  <c r="F17" i="4"/>
  <c r="F18" i="4" s="1"/>
  <c r="G17" i="4"/>
  <c r="G18" i="4" s="1"/>
  <c r="H17" i="4"/>
  <c r="H18" i="4" s="1"/>
  <c r="I17" i="4"/>
  <c r="I18" i="4" s="1"/>
  <c r="J17" i="4"/>
  <c r="J18" i="4" s="1"/>
  <c r="M17" i="4"/>
  <c r="M18" i="4" s="1"/>
  <c r="L17" i="4"/>
  <c r="L18" i="4" s="1"/>
  <c r="K17" i="4"/>
  <c r="K18" i="4" s="1"/>
  <c r="D17" i="4" l="1"/>
  <c r="D18" i="4" s="1"/>
  <c r="C17" i="4"/>
  <c r="C18" i="4" s="1"/>
  <c r="B17" i="4"/>
  <c r="B18" i="4" s="1"/>
  <c r="M11" i="4"/>
  <c r="M12" i="4" s="1"/>
  <c r="L11" i="4"/>
  <c r="L12" i="4" s="1"/>
  <c r="K11" i="4"/>
  <c r="K12" i="4" s="1"/>
  <c r="J11" i="4"/>
  <c r="J12" i="4" s="1"/>
  <c r="I11" i="4"/>
  <c r="I12" i="4" s="1"/>
  <c r="H11" i="4"/>
  <c r="H12" i="4" s="1"/>
  <c r="G11" i="4"/>
  <c r="G12" i="4" s="1"/>
  <c r="F11" i="4"/>
  <c r="F12" i="4" s="1"/>
  <c r="E11" i="4"/>
  <c r="E12" i="4" s="1"/>
  <c r="D11" i="4"/>
  <c r="D12" i="4" s="1"/>
  <c r="C11" i="4"/>
  <c r="C12" i="4" s="1"/>
  <c r="B11" i="4"/>
  <c r="B12" i="4" s="1"/>
  <c r="G5" i="4" l="1"/>
  <c r="G6" i="4" s="1"/>
  <c r="J5" i="4"/>
  <c r="D5" i="4"/>
  <c r="M5" i="4"/>
  <c r="M6" i="4" l="1"/>
  <c r="J6" i="4"/>
  <c r="D6" i="4"/>
  <c r="E5" i="4"/>
  <c r="E6" i="4" s="1"/>
  <c r="F5" i="4"/>
  <c r="F6" i="4" s="1"/>
  <c r="H5" i="4"/>
  <c r="H6" i="4" l="1"/>
  <c r="C5" i="4"/>
  <c r="I5" i="4"/>
  <c r="K5" i="4"/>
  <c r="L5" i="4"/>
  <c r="B5" i="4"/>
  <c r="B6" i="4" s="1"/>
  <c r="C6" i="4" l="1"/>
  <c r="I6" i="4"/>
  <c r="K6" i="4"/>
  <c r="L6" i="4"/>
</calcChain>
</file>

<file path=xl/sharedStrings.xml><?xml version="1.0" encoding="utf-8"?>
<sst xmlns="http://schemas.openxmlformats.org/spreadsheetml/2006/main" count="134" uniqueCount="22">
  <si>
    <t>0hr</t>
  </si>
  <si>
    <t>dilution (pwr)</t>
    <phoneticPr fontId="1" type="noConversion"/>
  </si>
  <si>
    <t>CFU/ml</t>
    <phoneticPr fontId="1" type="noConversion"/>
  </si>
  <si>
    <t>BIGb0170</t>
    <phoneticPr fontId="5" type="noConversion"/>
  </si>
  <si>
    <t>BIGb0172</t>
    <phoneticPr fontId="5" type="noConversion"/>
  </si>
  <si>
    <t>BIGb0393</t>
    <phoneticPr fontId="5" type="noConversion"/>
  </si>
  <si>
    <t>JUb44</t>
    <phoneticPr fontId="5" type="noConversion"/>
  </si>
  <si>
    <t>MYb10</t>
    <phoneticPr fontId="5" type="noConversion"/>
  </si>
  <si>
    <t>MYb11</t>
    <phoneticPr fontId="5" type="noConversion"/>
  </si>
  <si>
    <t>MSPm1</t>
    <phoneticPr fontId="5" type="noConversion"/>
  </si>
  <si>
    <t>OP50</t>
    <phoneticPr fontId="5" type="noConversion"/>
  </si>
  <si>
    <t>24hr</t>
    <phoneticPr fontId="1" type="noConversion"/>
  </si>
  <si>
    <t>CeMbio</t>
    <phoneticPr fontId="1" type="noConversion"/>
  </si>
  <si>
    <t>log CFU/ml</t>
    <phoneticPr fontId="5" type="noConversion"/>
  </si>
  <si>
    <t>JUb19</t>
    <phoneticPr fontId="5" type="noConversion"/>
  </si>
  <si>
    <t>JUb66</t>
    <phoneticPr fontId="5" type="noConversion"/>
  </si>
  <si>
    <t>MYb71</t>
    <phoneticPr fontId="5" type="noConversion"/>
  </si>
  <si>
    <t>CEN2ent</t>
    <phoneticPr fontId="5" type="noConversion"/>
  </si>
  <si>
    <t>JUb134</t>
    <phoneticPr fontId="5" type="noConversion"/>
  </si>
  <si>
    <t>strain</t>
    <phoneticPr fontId="5" type="noConversion"/>
  </si>
  <si>
    <t>growth time</t>
    <phoneticPr fontId="5" type="noConversion"/>
  </si>
  <si>
    <t>0hr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</si>
</sst>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#,##0.0"/>
    <numFmt numFmtId="178" formatCode="0.000000_ "/>
    <numFmt numFmtId="179" formatCode="0.000000_);[Red]\(0.000000\)"/>
  </numFmts>
  <fonts count="7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Arial"/>
      <family val="2"/>
    </font>
    <font>
      <sz val="11"/>
      <color rgb="FFFF0000"/>
      <name val="Arial"/>
      <family val="2"/>
    </font>
    <font>
      <b/>
      <sz val="12"/>
      <color theme="1"/>
      <name val="Arial"/>
      <family val="2"/>
    </font>
    <font>
      <sz val="9"/>
      <name val="新細明體"/>
      <family val="1"/>
      <charset val="136"/>
      <scheme val="minor"/>
    </font>
    <font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BE9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/>
    <xf numFmtId="0" fontId="6" fillId="0" borderId="0" xfId="0" applyFont="1"/>
    <xf numFmtId="2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3" fontId="2" fillId="0" borderId="0" xfId="0" applyNumberFormat="1" applyFont="1" applyAlignment="1">
      <alignment horizontal="right"/>
    </xf>
    <xf numFmtId="176" fontId="2" fillId="0" borderId="0" xfId="0" applyNumberFormat="1" applyFont="1"/>
    <xf numFmtId="178" fontId="2" fillId="0" borderId="0" xfId="0" applyNumberFormat="1" applyFont="1"/>
    <xf numFmtId="177" fontId="2" fillId="0" borderId="0" xfId="0" applyNumberFormat="1" applyFont="1"/>
    <xf numFmtId="20" fontId="2" fillId="0" borderId="0" xfId="0" applyNumberFormat="1" applyFont="1" applyAlignment="1">
      <alignment horizontal="center" vertical="center"/>
    </xf>
    <xf numFmtId="11" fontId="2" fillId="0" borderId="0" xfId="0" applyNumberFormat="1" applyFont="1"/>
    <xf numFmtId="0" fontId="4" fillId="0" borderId="0" xfId="0" applyFont="1" applyAlignment="1">
      <alignment horizontal="center"/>
    </xf>
    <xf numFmtId="179" fontId="2" fillId="0" borderId="0" xfId="0" applyNumberFormat="1" applyFont="1"/>
    <xf numFmtId="20" fontId="2" fillId="6" borderId="0" xfId="0" applyNumberFormat="1" applyFont="1" applyFill="1" applyAlignment="1">
      <alignment horizontal="center"/>
    </xf>
    <xf numFmtId="20" fontId="2" fillId="2" borderId="0" xfId="0" applyNumberFormat="1" applyFont="1" applyFill="1" applyAlignment="1">
      <alignment horizontal="center"/>
    </xf>
    <xf numFmtId="20" fontId="2" fillId="5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right"/>
    </xf>
    <xf numFmtId="3" fontId="2" fillId="3" borderId="0" xfId="0" applyNumberFormat="1" applyFont="1" applyFill="1" applyAlignment="1">
      <alignment horizontal="right"/>
    </xf>
    <xf numFmtId="0" fontId="3" fillId="0" borderId="0" xfId="0" applyFont="1" applyAlignment="1">
      <alignment horizontal="center"/>
    </xf>
    <xf numFmtId="20" fontId="2" fillId="4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EBE993"/>
      <color rgb="FFC6C609"/>
      <color rgb="FFFFD5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FF874-EB45-5845-81AB-2FF2763C4EEF}">
  <dimension ref="A2:AB41"/>
  <sheetViews>
    <sheetView zoomScale="74" zoomScaleNormal="74" workbookViewId="0">
      <selection activeCell="A2" sqref="A2:D6"/>
    </sheetView>
  </sheetViews>
  <sheetFormatPr defaultColWidth="9" defaultRowHeight="14.25" x14ac:dyDescent="0.2"/>
  <cols>
    <col min="1" max="13" width="20.5703125" style="1" customWidth="1"/>
    <col min="14" max="15" width="17.42578125" style="1" customWidth="1"/>
    <col min="16" max="16" width="18.7109375" style="1" customWidth="1"/>
    <col min="17" max="17" width="17.28515625" style="1" customWidth="1"/>
    <col min="18" max="18" width="18" style="1" customWidth="1"/>
    <col min="19" max="20" width="17.7109375" style="1" customWidth="1"/>
    <col min="21" max="21" width="17.5703125" style="1" customWidth="1"/>
    <col min="22" max="22" width="18.85546875" style="1" customWidth="1"/>
    <col min="23" max="23" width="18.42578125" style="1" customWidth="1"/>
    <col min="24" max="24" width="18.28515625" style="1" customWidth="1"/>
    <col min="25" max="25" width="18.85546875" style="1" customWidth="1"/>
    <col min="26" max="16384" width="9" style="1"/>
  </cols>
  <sheetData>
    <row r="2" spans="1:25" x14ac:dyDescent="0.2">
      <c r="A2" s="19" t="s">
        <v>0</v>
      </c>
      <c r="B2" s="20" t="s">
        <v>3</v>
      </c>
      <c r="C2" s="20" t="s">
        <v>3</v>
      </c>
      <c r="D2" s="20" t="s">
        <v>3</v>
      </c>
      <c r="E2" s="14" t="s">
        <v>4</v>
      </c>
      <c r="F2" s="14" t="s">
        <v>4</v>
      </c>
      <c r="G2" s="14" t="s">
        <v>4</v>
      </c>
      <c r="H2" s="15" t="s">
        <v>5</v>
      </c>
      <c r="I2" s="15" t="s">
        <v>5</v>
      </c>
      <c r="J2" s="15" t="s">
        <v>5</v>
      </c>
      <c r="K2" s="16" t="s">
        <v>14</v>
      </c>
      <c r="L2" s="16" t="s">
        <v>14</v>
      </c>
      <c r="M2" s="16" t="s">
        <v>14</v>
      </c>
    </row>
    <row r="3" spans="1:25" x14ac:dyDescent="0.2">
      <c r="A3" s="21" t="s">
        <v>1</v>
      </c>
      <c r="B3" s="17">
        <v>5</v>
      </c>
      <c r="C3" s="17">
        <v>5</v>
      </c>
      <c r="D3" s="17">
        <v>5</v>
      </c>
      <c r="E3" s="17">
        <v>5</v>
      </c>
      <c r="F3" s="17">
        <v>5</v>
      </c>
      <c r="G3" s="17">
        <v>5</v>
      </c>
      <c r="H3" s="17">
        <v>5</v>
      </c>
      <c r="I3" s="17">
        <v>5</v>
      </c>
      <c r="J3" s="17">
        <v>5</v>
      </c>
      <c r="K3" s="17">
        <v>5</v>
      </c>
      <c r="L3" s="17">
        <v>5</v>
      </c>
      <c r="M3" s="17">
        <v>5</v>
      </c>
    </row>
    <row r="4" spans="1:25" x14ac:dyDescent="0.2">
      <c r="A4" s="21" t="s">
        <v>12</v>
      </c>
      <c r="B4" s="17">
        <v>50</v>
      </c>
      <c r="C4" s="17">
        <v>48</v>
      </c>
      <c r="D4" s="17">
        <v>61</v>
      </c>
      <c r="E4" s="17">
        <v>48</v>
      </c>
      <c r="F4" s="17">
        <v>40</v>
      </c>
      <c r="G4" s="17">
        <v>41</v>
      </c>
      <c r="H4" s="17">
        <v>99</v>
      </c>
      <c r="I4" s="17">
        <v>44</v>
      </c>
      <c r="J4" s="17">
        <v>89</v>
      </c>
      <c r="K4" s="17">
        <v>166</v>
      </c>
      <c r="L4" s="17">
        <v>148</v>
      </c>
      <c r="M4" s="17">
        <v>149</v>
      </c>
    </row>
    <row r="5" spans="1:25" ht="21.95" customHeight="1" x14ac:dyDescent="0.2">
      <c r="A5" s="22" t="s">
        <v>2</v>
      </c>
      <c r="B5" s="18">
        <f>B4*POWER(10,B3)*1000</f>
        <v>5000000000</v>
      </c>
      <c r="C5" s="18">
        <f t="shared" ref="C5:L5" si="0">C4*POWER(10,C3)*1000</f>
        <v>4800000000</v>
      </c>
      <c r="D5" s="18">
        <f t="shared" ref="D5" si="1">D4*POWER(10,D3)*1000</f>
        <v>6100000000</v>
      </c>
      <c r="E5" s="18">
        <f t="shared" ref="E5" si="2">E4*POWER(10,E3)*1000</f>
        <v>4800000000</v>
      </c>
      <c r="F5" s="18">
        <f t="shared" ref="F5:G5" si="3">F4*POWER(10,F3)*1000</f>
        <v>4000000000</v>
      </c>
      <c r="G5" s="18">
        <f t="shared" si="3"/>
        <v>4100000000</v>
      </c>
      <c r="H5" s="18">
        <f t="shared" si="0"/>
        <v>9900000000</v>
      </c>
      <c r="I5" s="18">
        <f t="shared" si="0"/>
        <v>4400000000</v>
      </c>
      <c r="J5" s="18">
        <f t="shared" ref="J5" si="4">J4*POWER(10,J3)*1000</f>
        <v>8900000000</v>
      </c>
      <c r="K5" s="18">
        <f t="shared" si="0"/>
        <v>16600000000</v>
      </c>
      <c r="L5" s="18">
        <f t="shared" si="0"/>
        <v>14800000000</v>
      </c>
      <c r="M5" s="18">
        <f t="shared" ref="M5" si="5">M4*POWER(10,M3)*1000</f>
        <v>14900000000</v>
      </c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</row>
    <row r="6" spans="1:25" x14ac:dyDescent="0.2">
      <c r="A6" s="4" t="s">
        <v>13</v>
      </c>
      <c r="B6" s="9">
        <f t="shared" ref="B6:M6" si="6">LOG(B5)</f>
        <v>9.6989700043360187</v>
      </c>
      <c r="C6" s="9">
        <f t="shared" si="6"/>
        <v>9.6812412373755876</v>
      </c>
      <c r="D6" s="9">
        <f t="shared" si="6"/>
        <v>9.7853298350107671</v>
      </c>
      <c r="E6" s="9">
        <f t="shared" si="6"/>
        <v>9.6812412373755876</v>
      </c>
      <c r="F6" s="9">
        <f t="shared" si="6"/>
        <v>9.6020599913279625</v>
      </c>
      <c r="G6" s="9">
        <f t="shared" si="6"/>
        <v>9.6127838567197355</v>
      </c>
      <c r="H6" s="9">
        <f t="shared" si="6"/>
        <v>9.9956351945975506</v>
      </c>
      <c r="I6" s="9">
        <f t="shared" si="6"/>
        <v>9.6434526764861879</v>
      </c>
      <c r="J6" s="9">
        <f t="shared" si="6"/>
        <v>9.9493900066449132</v>
      </c>
      <c r="K6" s="9">
        <f t="shared" si="6"/>
        <v>10.220108088040055</v>
      </c>
      <c r="L6" s="9">
        <f t="shared" si="6"/>
        <v>10.170261715394957</v>
      </c>
      <c r="M6" s="9">
        <f t="shared" si="6"/>
        <v>10.173186268412275</v>
      </c>
    </row>
    <row r="8" spans="1:25" x14ac:dyDescent="0.2">
      <c r="A8" s="19" t="s">
        <v>0</v>
      </c>
      <c r="B8" s="20" t="s">
        <v>6</v>
      </c>
      <c r="C8" s="20" t="s">
        <v>6</v>
      </c>
      <c r="D8" s="20" t="s">
        <v>6</v>
      </c>
      <c r="E8" s="14" t="s">
        <v>15</v>
      </c>
      <c r="F8" s="14" t="s">
        <v>15</v>
      </c>
      <c r="G8" s="14" t="s">
        <v>15</v>
      </c>
      <c r="H8" s="15" t="s">
        <v>7</v>
      </c>
      <c r="I8" s="15" t="s">
        <v>7</v>
      </c>
      <c r="J8" s="15" t="s">
        <v>7</v>
      </c>
      <c r="K8" s="16" t="s">
        <v>8</v>
      </c>
      <c r="L8" s="16" t="s">
        <v>8</v>
      </c>
      <c r="M8" s="16" t="s">
        <v>8</v>
      </c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 spans="1:25" x14ac:dyDescent="0.2">
      <c r="A9" s="21" t="s">
        <v>1</v>
      </c>
      <c r="B9" s="17">
        <v>5</v>
      </c>
      <c r="C9" s="17">
        <v>5</v>
      </c>
      <c r="D9" s="17">
        <v>5</v>
      </c>
      <c r="E9" s="17">
        <v>5</v>
      </c>
      <c r="F9" s="17">
        <v>5</v>
      </c>
      <c r="G9" s="17">
        <v>5</v>
      </c>
      <c r="H9" s="17">
        <v>5</v>
      </c>
      <c r="I9" s="17">
        <v>5</v>
      </c>
      <c r="J9" s="17">
        <v>5</v>
      </c>
      <c r="K9" s="17">
        <v>5</v>
      </c>
      <c r="L9" s="17">
        <v>5</v>
      </c>
      <c r="M9" s="17">
        <v>5</v>
      </c>
    </row>
    <row r="10" spans="1:25" x14ac:dyDescent="0.2">
      <c r="A10" s="21" t="s">
        <v>12</v>
      </c>
      <c r="B10" s="17">
        <v>91</v>
      </c>
      <c r="C10" s="17">
        <v>83</v>
      </c>
      <c r="D10" s="17">
        <v>74</v>
      </c>
      <c r="E10" s="17">
        <v>136</v>
      </c>
      <c r="F10" s="17">
        <v>110</v>
      </c>
      <c r="G10" s="17">
        <v>103</v>
      </c>
      <c r="H10" s="17">
        <v>36</v>
      </c>
      <c r="I10" s="17">
        <v>34</v>
      </c>
      <c r="J10" s="17">
        <v>37</v>
      </c>
      <c r="K10" s="17">
        <v>68</v>
      </c>
      <c r="L10" s="17">
        <v>51</v>
      </c>
      <c r="M10" s="17">
        <v>50</v>
      </c>
    </row>
    <row r="11" spans="1:25" x14ac:dyDescent="0.2">
      <c r="A11" s="22" t="s">
        <v>2</v>
      </c>
      <c r="B11" s="18">
        <f>B10*POWER(10,B9)*1000</f>
        <v>9100000000</v>
      </c>
      <c r="C11" s="18">
        <f t="shared" ref="C11:M11" si="7">C10*POWER(10,C9)*1000</f>
        <v>8300000000</v>
      </c>
      <c r="D11" s="18">
        <f t="shared" si="7"/>
        <v>7400000000</v>
      </c>
      <c r="E11" s="18">
        <f t="shared" si="7"/>
        <v>13600000000</v>
      </c>
      <c r="F11" s="18">
        <f t="shared" si="7"/>
        <v>11000000000</v>
      </c>
      <c r="G11" s="18">
        <f t="shared" si="7"/>
        <v>10300000000</v>
      </c>
      <c r="H11" s="18">
        <f t="shared" si="7"/>
        <v>3600000000</v>
      </c>
      <c r="I11" s="18">
        <f t="shared" si="7"/>
        <v>3400000000</v>
      </c>
      <c r="J11" s="18">
        <f t="shared" si="7"/>
        <v>3700000000</v>
      </c>
      <c r="K11" s="18">
        <f t="shared" si="7"/>
        <v>6800000000</v>
      </c>
      <c r="L11" s="18">
        <f t="shared" si="7"/>
        <v>5100000000</v>
      </c>
      <c r="M11" s="18">
        <f t="shared" si="7"/>
        <v>5000000000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 spans="1:25" x14ac:dyDescent="0.2">
      <c r="A12" s="4" t="s">
        <v>13</v>
      </c>
      <c r="B12" s="9">
        <f t="shared" ref="B12:M12" si="8">LOG(B11)</f>
        <v>9.9590413923210939</v>
      </c>
      <c r="C12" s="9">
        <f t="shared" si="8"/>
        <v>9.9190780923760737</v>
      </c>
      <c r="D12" s="9">
        <f t="shared" si="8"/>
        <v>9.8692317197309762</v>
      </c>
      <c r="E12" s="9">
        <f t="shared" si="8"/>
        <v>10.133538908370218</v>
      </c>
      <c r="F12" s="9">
        <f t="shared" si="8"/>
        <v>10.041392685158225</v>
      </c>
      <c r="G12" s="9">
        <f t="shared" si="8"/>
        <v>10.012837224705173</v>
      </c>
      <c r="H12" s="9">
        <f t="shared" si="8"/>
        <v>9.5563025007672877</v>
      </c>
      <c r="I12" s="9">
        <f t="shared" si="8"/>
        <v>9.5314789170422554</v>
      </c>
      <c r="J12" s="9">
        <f t="shared" si="8"/>
        <v>9.568201724066995</v>
      </c>
      <c r="K12" s="9">
        <f t="shared" si="8"/>
        <v>9.8325089127062366</v>
      </c>
      <c r="L12" s="9">
        <f t="shared" si="8"/>
        <v>9.7075701760979367</v>
      </c>
      <c r="M12" s="9">
        <f t="shared" si="8"/>
        <v>9.6989700043360187</v>
      </c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</row>
    <row r="13" spans="1:25" ht="15.95" customHeight="1" x14ac:dyDescent="0.2">
      <c r="A13" s="4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  <row r="14" spans="1:25" ht="15.95" customHeight="1" x14ac:dyDescent="0.2">
      <c r="A14" s="19" t="s">
        <v>0</v>
      </c>
      <c r="B14" s="20" t="s">
        <v>16</v>
      </c>
      <c r="C14" s="20" t="s">
        <v>16</v>
      </c>
      <c r="D14" s="20" t="s">
        <v>16</v>
      </c>
      <c r="E14" s="14" t="s">
        <v>9</v>
      </c>
      <c r="F14" s="14" t="s">
        <v>9</v>
      </c>
      <c r="G14" s="14" t="s">
        <v>9</v>
      </c>
      <c r="H14" s="15" t="s">
        <v>17</v>
      </c>
      <c r="I14" s="15" t="s">
        <v>17</v>
      </c>
      <c r="J14" s="15" t="s">
        <v>17</v>
      </c>
      <c r="K14" s="16" t="s">
        <v>10</v>
      </c>
      <c r="L14" s="16" t="s">
        <v>10</v>
      </c>
      <c r="M14" s="16" t="s">
        <v>10</v>
      </c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spans="1:25" ht="15.95" customHeight="1" x14ac:dyDescent="0.2">
      <c r="A15" s="21" t="s">
        <v>1</v>
      </c>
      <c r="B15" s="17">
        <v>5</v>
      </c>
      <c r="C15" s="17">
        <v>5</v>
      </c>
      <c r="D15" s="17">
        <v>5</v>
      </c>
      <c r="E15" s="17">
        <v>5</v>
      </c>
      <c r="F15" s="17">
        <v>5</v>
      </c>
      <c r="G15" s="17">
        <v>5</v>
      </c>
      <c r="H15" s="17">
        <v>5</v>
      </c>
      <c r="I15" s="17">
        <v>5</v>
      </c>
      <c r="J15" s="17">
        <v>5</v>
      </c>
      <c r="K15" s="17">
        <v>5</v>
      </c>
      <c r="L15" s="17">
        <v>5</v>
      </c>
      <c r="M15" s="17">
        <v>5</v>
      </c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</row>
    <row r="16" spans="1:25" x14ac:dyDescent="0.2">
      <c r="A16" s="21" t="s">
        <v>12</v>
      </c>
      <c r="B16" s="17">
        <v>88</v>
      </c>
      <c r="C16" s="17">
        <v>77</v>
      </c>
      <c r="D16" s="17">
        <v>73</v>
      </c>
      <c r="E16" s="17">
        <v>100</v>
      </c>
      <c r="F16" s="17">
        <v>126</v>
      </c>
      <c r="G16" s="17">
        <v>97</v>
      </c>
      <c r="H16" s="17">
        <v>65</v>
      </c>
      <c r="I16" s="17">
        <v>57</v>
      </c>
      <c r="J16" s="17">
        <v>67</v>
      </c>
      <c r="K16" s="17">
        <v>39</v>
      </c>
      <c r="L16" s="17">
        <v>40</v>
      </c>
      <c r="M16" s="17">
        <v>39</v>
      </c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</row>
    <row r="17" spans="1:25" x14ac:dyDescent="0.2">
      <c r="A17" s="22" t="s">
        <v>2</v>
      </c>
      <c r="B17" s="18">
        <f>B16*POWER(10,B15)*1000</f>
        <v>8800000000</v>
      </c>
      <c r="C17" s="18">
        <f t="shared" ref="C17:J17" si="9">C16*POWER(10,C15)*1000</f>
        <v>7700000000</v>
      </c>
      <c r="D17" s="18">
        <f t="shared" si="9"/>
        <v>7300000000</v>
      </c>
      <c r="E17" s="18">
        <f t="shared" si="9"/>
        <v>10000000000</v>
      </c>
      <c r="F17" s="18">
        <f t="shared" si="9"/>
        <v>12600000000</v>
      </c>
      <c r="G17" s="18">
        <f t="shared" si="9"/>
        <v>9700000000</v>
      </c>
      <c r="H17" s="18">
        <f t="shared" si="9"/>
        <v>6500000000</v>
      </c>
      <c r="I17" s="18">
        <f t="shared" si="9"/>
        <v>5700000000</v>
      </c>
      <c r="J17" s="18">
        <f t="shared" si="9"/>
        <v>6700000000</v>
      </c>
      <c r="K17" s="18">
        <f t="shared" ref="K17:M17" si="10">K16*POWER(10,K15)*1000</f>
        <v>3900000000</v>
      </c>
      <c r="L17" s="18">
        <f t="shared" si="10"/>
        <v>4000000000</v>
      </c>
      <c r="M17" s="18">
        <f t="shared" si="10"/>
        <v>3900000000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 spans="1:25" x14ac:dyDescent="0.2">
      <c r="A18" s="4" t="s">
        <v>13</v>
      </c>
      <c r="B18" s="9">
        <f>LOG(B17)</f>
        <v>9.9444826721501691</v>
      </c>
      <c r="C18" s="9">
        <f t="shared" ref="C18:J18" si="11">LOG(C17)</f>
        <v>9.8864907251724823</v>
      </c>
      <c r="D18" s="9">
        <f t="shared" si="11"/>
        <v>9.8633228601204568</v>
      </c>
      <c r="E18" s="9">
        <f t="shared" si="11"/>
        <v>10</v>
      </c>
      <c r="F18" s="9">
        <f t="shared" si="11"/>
        <v>10.100370545117563</v>
      </c>
      <c r="G18" s="9">
        <f t="shared" si="11"/>
        <v>9.9867717342662452</v>
      </c>
      <c r="H18" s="9">
        <f t="shared" si="11"/>
        <v>9.8129133566428557</v>
      </c>
      <c r="I18" s="9">
        <f t="shared" si="11"/>
        <v>9.7558748556724915</v>
      </c>
      <c r="J18" s="9">
        <f t="shared" si="11"/>
        <v>9.8260748027008269</v>
      </c>
      <c r="K18" s="9">
        <f>LOG(K17)</f>
        <v>9.5910646070264995</v>
      </c>
      <c r="L18" s="9">
        <f>LOG(L17)</f>
        <v>9.6020599913279625</v>
      </c>
      <c r="M18" s="9">
        <f>LOG(M17)</f>
        <v>9.5910646070264995</v>
      </c>
    </row>
    <row r="19" spans="1:25" ht="15.75" x14ac:dyDescent="0.25">
      <c r="A19" s="12"/>
      <c r="B19" s="8"/>
      <c r="C19" s="8"/>
      <c r="D19" s="8"/>
      <c r="E19" s="8"/>
      <c r="F19" s="8"/>
      <c r="G19" s="8"/>
      <c r="H19" s="8"/>
      <c r="I19" s="8"/>
      <c r="J19" s="8"/>
      <c r="K19" s="5"/>
      <c r="L19" s="5"/>
      <c r="M19" s="5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 spans="1:25" x14ac:dyDescent="0.2">
      <c r="A20" s="19" t="s">
        <v>0</v>
      </c>
      <c r="B20" s="20" t="s">
        <v>18</v>
      </c>
      <c r="C20" s="20" t="s">
        <v>18</v>
      </c>
      <c r="D20" s="20" t="s">
        <v>18</v>
      </c>
      <c r="K20" s="6"/>
      <c r="L20" s="6"/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spans="1:25" x14ac:dyDescent="0.2">
      <c r="A21" s="21" t="s">
        <v>1</v>
      </c>
      <c r="B21" s="17">
        <v>5</v>
      </c>
      <c r="C21" s="17">
        <v>5</v>
      </c>
      <c r="D21" s="17">
        <v>5</v>
      </c>
      <c r="K21" s="6"/>
      <c r="L21" s="6"/>
      <c r="M21" s="6"/>
    </row>
    <row r="22" spans="1:25" x14ac:dyDescent="0.2">
      <c r="A22" s="21" t="s">
        <v>12</v>
      </c>
      <c r="B22" s="17">
        <v>58</v>
      </c>
      <c r="C22" s="17">
        <v>72</v>
      </c>
      <c r="D22" s="17">
        <v>74</v>
      </c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 spans="1:25" s="2" customFormat="1" x14ac:dyDescent="0.2">
      <c r="A23" s="22" t="s">
        <v>2</v>
      </c>
      <c r="B23" s="18">
        <f>B22*POWER(10,B21)*1000</f>
        <v>5800000000</v>
      </c>
      <c r="C23" s="18">
        <f t="shared" ref="C23:D23" si="12">C22*POWER(10,C21)*1000</f>
        <v>7200000000</v>
      </c>
      <c r="D23" s="18">
        <f t="shared" si="12"/>
        <v>7400000000</v>
      </c>
      <c r="E23" s="3"/>
      <c r="F23" s="3"/>
      <c r="G23" s="3"/>
      <c r="H23" s="7"/>
      <c r="I23" s="1"/>
      <c r="J23" s="1"/>
      <c r="K23" s="10"/>
      <c r="L23" s="10"/>
      <c r="M23" s="10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</row>
    <row r="24" spans="1:25" s="2" customFormat="1" ht="15" customHeight="1" x14ac:dyDescent="0.2">
      <c r="A24" s="4" t="s">
        <v>13</v>
      </c>
      <c r="B24" s="9">
        <f>LOG(B23)</f>
        <v>9.7634279935629369</v>
      </c>
      <c r="C24" s="9">
        <f t="shared" ref="C24:D24" si="13">LOG(C23)</f>
        <v>9.857332496431269</v>
      </c>
      <c r="D24" s="9">
        <f t="shared" si="13"/>
        <v>9.8692317197309762</v>
      </c>
      <c r="E24" s="3"/>
      <c r="F24" s="3"/>
      <c r="G24" s="3"/>
      <c r="H24" s="7"/>
      <c r="I24" s="1"/>
      <c r="J24" s="1"/>
      <c r="K24" s="8"/>
      <c r="L24" s="8"/>
      <c r="M24" s="8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</row>
    <row r="25" spans="1:25" ht="15.95" customHeight="1" x14ac:dyDescent="0.2">
      <c r="C25" s="3"/>
      <c r="D25" s="3"/>
      <c r="E25" s="3"/>
      <c r="F25" s="3"/>
      <c r="G25" s="3"/>
      <c r="H25" s="7"/>
      <c r="K25" s="8"/>
      <c r="L25" s="8"/>
      <c r="M25" s="8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</row>
    <row r="26" spans="1:25" x14ac:dyDescent="0.2">
      <c r="C26" s="3"/>
      <c r="D26" s="3"/>
      <c r="E26" s="3"/>
      <c r="F26" s="3"/>
      <c r="G26" s="3"/>
      <c r="K26" s="8"/>
      <c r="L26" s="8"/>
      <c r="M26" s="8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</row>
    <row r="27" spans="1:25" x14ac:dyDescent="0.2">
      <c r="K27" s="8"/>
      <c r="L27" s="8"/>
      <c r="M27" s="8"/>
    </row>
    <row r="28" spans="1:25" x14ac:dyDescent="0.2">
      <c r="C28" s="3"/>
      <c r="D28" s="3"/>
      <c r="E28" s="3"/>
      <c r="F28" s="3"/>
      <c r="G28" s="3"/>
      <c r="H28" s="7"/>
      <c r="K28" s="8"/>
      <c r="L28" s="8"/>
      <c r="M28" s="8"/>
    </row>
    <row r="29" spans="1:25" x14ac:dyDescent="0.2">
      <c r="C29" s="3"/>
      <c r="D29" s="3"/>
      <c r="E29" s="3"/>
      <c r="F29" s="3"/>
      <c r="G29" s="3"/>
      <c r="H29" s="7"/>
      <c r="K29" s="13"/>
      <c r="L29" s="13"/>
      <c r="M29" s="13"/>
    </row>
    <row r="30" spans="1:25" x14ac:dyDescent="0.2">
      <c r="C30" s="3"/>
      <c r="D30" s="3"/>
      <c r="E30" s="3"/>
      <c r="F30" s="3"/>
      <c r="G30" s="3"/>
      <c r="H30" s="7"/>
    </row>
    <row r="34" spans="14:28" ht="15" customHeight="1" x14ac:dyDescent="0.2"/>
    <row r="35" spans="14:28" x14ac:dyDescent="0.2"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</row>
    <row r="36" spans="14:28" x14ac:dyDescent="0.2"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</row>
    <row r="37" spans="14:28" x14ac:dyDescent="0.2"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</row>
    <row r="38" spans="14:28" x14ac:dyDescent="0.2"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</row>
    <row r="39" spans="14:28" x14ac:dyDescent="0.2"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</row>
    <row r="40" spans="14:28" x14ac:dyDescent="0.2"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</row>
    <row r="41" spans="14:28" x14ac:dyDescent="0.2"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78BCD-55C6-4A26-9310-36447C6C2394}">
  <dimension ref="A2:AB41"/>
  <sheetViews>
    <sheetView tabSelected="1" zoomScale="74" zoomScaleNormal="74" workbookViewId="0">
      <selection activeCell="A2" sqref="A2:D6"/>
    </sheetView>
  </sheetViews>
  <sheetFormatPr defaultColWidth="9" defaultRowHeight="14.25" x14ac:dyDescent="0.2"/>
  <cols>
    <col min="1" max="13" width="20.5703125" style="1" customWidth="1"/>
    <col min="14" max="15" width="17.42578125" style="1" customWidth="1"/>
    <col min="16" max="16" width="18.7109375" style="1" customWidth="1"/>
    <col min="17" max="17" width="17.28515625" style="1" customWidth="1"/>
    <col min="18" max="18" width="18" style="1" customWidth="1"/>
    <col min="19" max="20" width="17.7109375" style="1" customWidth="1"/>
    <col min="21" max="21" width="17.5703125" style="1" customWidth="1"/>
    <col min="22" max="22" width="18.85546875" style="1" customWidth="1"/>
    <col min="23" max="23" width="18.42578125" style="1" customWidth="1"/>
    <col min="24" max="24" width="18.28515625" style="1" customWidth="1"/>
    <col min="25" max="25" width="18.85546875" style="1" customWidth="1"/>
    <col min="26" max="16384" width="9" style="1"/>
  </cols>
  <sheetData>
    <row r="2" spans="1:25" x14ac:dyDescent="0.2">
      <c r="A2" s="19" t="s">
        <v>11</v>
      </c>
      <c r="B2" s="20" t="s">
        <v>3</v>
      </c>
      <c r="C2" s="20" t="s">
        <v>3</v>
      </c>
      <c r="D2" s="20" t="s">
        <v>3</v>
      </c>
      <c r="E2" s="14" t="s">
        <v>4</v>
      </c>
      <c r="F2" s="14" t="s">
        <v>4</v>
      </c>
      <c r="G2" s="14" t="s">
        <v>4</v>
      </c>
      <c r="H2" s="15" t="s">
        <v>5</v>
      </c>
      <c r="I2" s="15" t="s">
        <v>5</v>
      </c>
      <c r="J2" s="15" t="s">
        <v>5</v>
      </c>
      <c r="K2" s="16" t="s">
        <v>14</v>
      </c>
      <c r="L2" s="16" t="s">
        <v>14</v>
      </c>
      <c r="M2" s="16" t="s">
        <v>14</v>
      </c>
    </row>
    <row r="3" spans="1:25" x14ac:dyDescent="0.2">
      <c r="A3" s="21" t="s">
        <v>1</v>
      </c>
      <c r="B3" s="17">
        <v>6</v>
      </c>
      <c r="C3" s="17">
        <v>6</v>
      </c>
      <c r="D3" s="17">
        <v>6</v>
      </c>
      <c r="E3" s="17">
        <v>6</v>
      </c>
      <c r="F3" s="17">
        <v>6</v>
      </c>
      <c r="G3" s="17">
        <v>6</v>
      </c>
      <c r="H3" s="17">
        <v>5</v>
      </c>
      <c r="I3" s="17">
        <v>5</v>
      </c>
      <c r="J3" s="17">
        <v>5</v>
      </c>
      <c r="K3" s="17">
        <v>6</v>
      </c>
      <c r="L3" s="17">
        <v>6</v>
      </c>
      <c r="M3" s="17">
        <v>6</v>
      </c>
    </row>
    <row r="4" spans="1:25" x14ac:dyDescent="0.2">
      <c r="A4" s="21" t="s">
        <v>12</v>
      </c>
      <c r="B4" s="17">
        <v>15</v>
      </c>
      <c r="C4" s="17">
        <v>16</v>
      </c>
      <c r="D4" s="17">
        <v>19</v>
      </c>
      <c r="E4" s="17">
        <v>9</v>
      </c>
      <c r="F4" s="17">
        <v>7</v>
      </c>
      <c r="G4" s="17">
        <v>10</v>
      </c>
      <c r="H4" s="17">
        <v>118</v>
      </c>
      <c r="I4" s="17">
        <v>66</v>
      </c>
      <c r="J4" s="17">
        <v>87</v>
      </c>
      <c r="K4" s="17">
        <v>75</v>
      </c>
      <c r="L4" s="17">
        <v>92</v>
      </c>
      <c r="M4" s="17">
        <v>125</v>
      </c>
    </row>
    <row r="5" spans="1:25" ht="21.95" customHeight="1" x14ac:dyDescent="0.2">
      <c r="A5" s="22" t="s">
        <v>2</v>
      </c>
      <c r="B5" s="18">
        <f>B4*40*POWER(10,B3)*1000</f>
        <v>600000000000</v>
      </c>
      <c r="C5" s="18">
        <f t="shared" ref="C5:M5" si="0">C4*40*POWER(10,C3)*1000</f>
        <v>640000000000</v>
      </c>
      <c r="D5" s="18">
        <f t="shared" si="0"/>
        <v>760000000000</v>
      </c>
      <c r="E5" s="18">
        <f t="shared" si="0"/>
        <v>360000000000</v>
      </c>
      <c r="F5" s="18">
        <f t="shared" si="0"/>
        <v>280000000000</v>
      </c>
      <c r="G5" s="18">
        <f t="shared" si="0"/>
        <v>400000000000</v>
      </c>
      <c r="H5" s="18">
        <f t="shared" si="0"/>
        <v>472000000000</v>
      </c>
      <c r="I5" s="18">
        <f t="shared" si="0"/>
        <v>264000000000</v>
      </c>
      <c r="J5" s="18">
        <f t="shared" si="0"/>
        <v>348000000000</v>
      </c>
      <c r="K5" s="18">
        <f t="shared" si="0"/>
        <v>3000000000000</v>
      </c>
      <c r="L5" s="18">
        <f t="shared" si="0"/>
        <v>3680000000000</v>
      </c>
      <c r="M5" s="18">
        <f t="shared" si="0"/>
        <v>5000000000000</v>
      </c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</row>
    <row r="6" spans="1:25" x14ac:dyDescent="0.2">
      <c r="A6" s="4" t="s">
        <v>13</v>
      </c>
      <c r="B6" s="9">
        <f t="shared" ref="B6:M6" si="1">LOG(B5)</f>
        <v>11.778151250383644</v>
      </c>
      <c r="C6" s="9">
        <f t="shared" si="1"/>
        <v>11.806179973983888</v>
      </c>
      <c r="D6" s="9">
        <f t="shared" si="1"/>
        <v>11.880813592280791</v>
      </c>
      <c r="E6" s="9">
        <f t="shared" si="1"/>
        <v>11.556302500767288</v>
      </c>
      <c r="F6" s="9">
        <f t="shared" si="1"/>
        <v>11.447158031342219</v>
      </c>
      <c r="G6" s="9">
        <f t="shared" si="1"/>
        <v>11.602059991327963</v>
      </c>
      <c r="H6" s="9">
        <f t="shared" si="1"/>
        <v>11.673941998634088</v>
      </c>
      <c r="I6" s="9">
        <f t="shared" si="1"/>
        <v>11.421603926869832</v>
      </c>
      <c r="J6" s="9">
        <f t="shared" si="1"/>
        <v>11.541579243946581</v>
      </c>
      <c r="K6" s="9">
        <f t="shared" si="1"/>
        <v>12.477121254719663</v>
      </c>
      <c r="L6" s="9">
        <f t="shared" si="1"/>
        <v>12.565847818673518</v>
      </c>
      <c r="M6" s="9">
        <f t="shared" si="1"/>
        <v>12.698970004336019</v>
      </c>
    </row>
    <row r="8" spans="1:25" x14ac:dyDescent="0.2">
      <c r="A8" s="19" t="s">
        <v>11</v>
      </c>
      <c r="B8" s="20" t="s">
        <v>6</v>
      </c>
      <c r="C8" s="20" t="s">
        <v>6</v>
      </c>
      <c r="D8" s="20" t="s">
        <v>6</v>
      </c>
      <c r="E8" s="14" t="s">
        <v>15</v>
      </c>
      <c r="F8" s="14" t="s">
        <v>15</v>
      </c>
      <c r="G8" s="14" t="s">
        <v>15</v>
      </c>
      <c r="H8" s="15" t="s">
        <v>7</v>
      </c>
      <c r="I8" s="15" t="s">
        <v>7</v>
      </c>
      <c r="J8" s="15" t="s">
        <v>7</v>
      </c>
      <c r="K8" s="16" t="s">
        <v>8</v>
      </c>
      <c r="L8" s="16" t="s">
        <v>8</v>
      </c>
      <c r="M8" s="16" t="s">
        <v>8</v>
      </c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 spans="1:25" x14ac:dyDescent="0.2">
      <c r="A9" s="21" t="s">
        <v>1</v>
      </c>
      <c r="B9" s="17">
        <v>6</v>
      </c>
      <c r="C9" s="17">
        <v>6</v>
      </c>
      <c r="D9" s="17">
        <v>6</v>
      </c>
      <c r="E9" s="17">
        <v>6</v>
      </c>
      <c r="F9" s="17">
        <v>6</v>
      </c>
      <c r="G9" s="17">
        <v>6</v>
      </c>
      <c r="H9" s="17">
        <v>6</v>
      </c>
      <c r="I9" s="17">
        <v>6</v>
      </c>
      <c r="J9" s="17">
        <v>6</v>
      </c>
      <c r="K9" s="17">
        <v>5</v>
      </c>
      <c r="L9" s="17">
        <v>5</v>
      </c>
      <c r="M9" s="17">
        <v>5</v>
      </c>
    </row>
    <row r="10" spans="1:25" x14ac:dyDescent="0.2">
      <c r="A10" s="21" t="s">
        <v>12</v>
      </c>
      <c r="B10" s="17">
        <v>36</v>
      </c>
      <c r="C10" s="17">
        <v>44</v>
      </c>
      <c r="D10" s="17">
        <v>50</v>
      </c>
      <c r="E10" s="17">
        <v>28</v>
      </c>
      <c r="F10" s="17">
        <v>24</v>
      </c>
      <c r="G10" s="17">
        <v>13</v>
      </c>
      <c r="H10" s="17">
        <v>47</v>
      </c>
      <c r="I10" s="17">
        <v>36</v>
      </c>
      <c r="J10" s="17">
        <v>25</v>
      </c>
      <c r="K10" s="17">
        <v>166</v>
      </c>
      <c r="L10" s="17">
        <v>144</v>
      </c>
      <c r="M10" s="17">
        <v>175</v>
      </c>
    </row>
    <row r="11" spans="1:25" x14ac:dyDescent="0.2">
      <c r="A11" s="22" t="s">
        <v>2</v>
      </c>
      <c r="B11" s="18">
        <f>B10*40*POWER(10,B9)*1000</f>
        <v>1440000000000</v>
      </c>
      <c r="C11" s="18">
        <f t="shared" ref="C11:M11" si="2">C10*40*POWER(10,C9)*1000</f>
        <v>1760000000000</v>
      </c>
      <c r="D11" s="18">
        <f t="shared" si="2"/>
        <v>2000000000000</v>
      </c>
      <c r="E11" s="18">
        <f t="shared" si="2"/>
        <v>1120000000000</v>
      </c>
      <c r="F11" s="18">
        <f t="shared" si="2"/>
        <v>960000000000</v>
      </c>
      <c r="G11" s="18">
        <f t="shared" si="2"/>
        <v>520000000000</v>
      </c>
      <c r="H11" s="18">
        <f t="shared" si="2"/>
        <v>1880000000000</v>
      </c>
      <c r="I11" s="18">
        <f t="shared" si="2"/>
        <v>1440000000000</v>
      </c>
      <c r="J11" s="18">
        <f t="shared" si="2"/>
        <v>1000000000000</v>
      </c>
      <c r="K11" s="18">
        <f t="shared" si="2"/>
        <v>664000000000</v>
      </c>
      <c r="L11" s="18">
        <f t="shared" si="2"/>
        <v>576000000000</v>
      </c>
      <c r="M11" s="18">
        <f t="shared" si="2"/>
        <v>700000000000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 spans="1:25" x14ac:dyDescent="0.2">
      <c r="A12" s="4" t="s">
        <v>13</v>
      </c>
      <c r="B12" s="9">
        <f t="shared" ref="B12:M12" si="3">LOG(B11)</f>
        <v>12.15836249209525</v>
      </c>
      <c r="C12" s="9">
        <f t="shared" si="3"/>
        <v>12.24551266781415</v>
      </c>
      <c r="D12" s="9">
        <f t="shared" si="3"/>
        <v>12.301029995663981</v>
      </c>
      <c r="E12" s="9">
        <f t="shared" si="3"/>
        <v>12.049218022670182</v>
      </c>
      <c r="F12" s="9">
        <f t="shared" si="3"/>
        <v>11.982271233039569</v>
      </c>
      <c r="G12" s="9">
        <f t="shared" si="3"/>
        <v>11.716003343634799</v>
      </c>
      <c r="H12" s="9">
        <f t="shared" si="3"/>
        <v>12.27415784926368</v>
      </c>
      <c r="I12" s="9">
        <f t="shared" si="3"/>
        <v>12.15836249209525</v>
      </c>
      <c r="J12" s="9">
        <f t="shared" si="3"/>
        <v>12</v>
      </c>
      <c r="K12" s="9">
        <f t="shared" si="3"/>
        <v>11.822168079368018</v>
      </c>
      <c r="L12" s="9">
        <f t="shared" si="3"/>
        <v>11.760422483423213</v>
      </c>
      <c r="M12" s="9">
        <f t="shared" si="3"/>
        <v>11.845098040014257</v>
      </c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</row>
    <row r="13" spans="1:25" ht="15.95" customHeight="1" x14ac:dyDescent="0.2">
      <c r="A13" s="4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  <row r="14" spans="1:25" ht="15.95" customHeight="1" x14ac:dyDescent="0.2">
      <c r="A14" s="19" t="s">
        <v>11</v>
      </c>
      <c r="B14" s="20" t="s">
        <v>16</v>
      </c>
      <c r="C14" s="20" t="s">
        <v>16</v>
      </c>
      <c r="D14" s="20" t="s">
        <v>16</v>
      </c>
      <c r="E14" s="14" t="s">
        <v>9</v>
      </c>
      <c r="F14" s="14" t="s">
        <v>9</v>
      </c>
      <c r="G14" s="14" t="s">
        <v>9</v>
      </c>
      <c r="H14" s="15" t="s">
        <v>17</v>
      </c>
      <c r="I14" s="15" t="s">
        <v>17</v>
      </c>
      <c r="J14" s="15" t="s">
        <v>17</v>
      </c>
      <c r="K14" s="16" t="s">
        <v>10</v>
      </c>
      <c r="L14" s="16" t="s">
        <v>10</v>
      </c>
      <c r="M14" s="16" t="s">
        <v>10</v>
      </c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spans="1:25" ht="15.95" customHeight="1" x14ac:dyDescent="0.2">
      <c r="A15" s="21" t="s">
        <v>1</v>
      </c>
      <c r="B15" s="17">
        <v>6</v>
      </c>
      <c r="C15" s="17">
        <v>6</v>
      </c>
      <c r="D15" s="17">
        <v>6</v>
      </c>
      <c r="E15" s="17">
        <v>6</v>
      </c>
      <c r="F15" s="17">
        <v>6</v>
      </c>
      <c r="G15" s="17">
        <v>6</v>
      </c>
      <c r="H15" s="17">
        <v>5</v>
      </c>
      <c r="I15" s="17">
        <v>5</v>
      </c>
      <c r="J15" s="17">
        <v>5</v>
      </c>
      <c r="K15" s="17">
        <v>5</v>
      </c>
      <c r="L15" s="17">
        <v>5</v>
      </c>
      <c r="M15" s="17">
        <v>5</v>
      </c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</row>
    <row r="16" spans="1:25" x14ac:dyDescent="0.2">
      <c r="A16" s="21" t="s">
        <v>12</v>
      </c>
      <c r="B16" s="17">
        <v>37</v>
      </c>
      <c r="C16" s="17">
        <v>47</v>
      </c>
      <c r="D16" s="17">
        <v>42</v>
      </c>
      <c r="E16" s="17">
        <v>46</v>
      </c>
      <c r="F16" s="17">
        <v>40</v>
      </c>
      <c r="G16" s="17">
        <v>46</v>
      </c>
      <c r="H16" s="17">
        <v>163</v>
      </c>
      <c r="I16" s="17">
        <v>37</v>
      </c>
      <c r="J16" s="17">
        <v>32</v>
      </c>
      <c r="K16" s="17">
        <v>102</v>
      </c>
      <c r="L16" s="17">
        <v>85</v>
      </c>
      <c r="M16" s="17">
        <v>80</v>
      </c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</row>
    <row r="17" spans="1:25" x14ac:dyDescent="0.2">
      <c r="A17" s="22" t="s">
        <v>2</v>
      </c>
      <c r="B17" s="18">
        <f>B16*40*POWER(10,B15)*1000</f>
        <v>1480000000000</v>
      </c>
      <c r="C17" s="18">
        <f t="shared" ref="C17:M17" si="4">C16*40*POWER(10,C15)*1000</f>
        <v>1880000000000</v>
      </c>
      <c r="D17" s="18">
        <f t="shared" si="4"/>
        <v>1680000000000</v>
      </c>
      <c r="E17" s="18">
        <f t="shared" si="4"/>
        <v>1840000000000</v>
      </c>
      <c r="F17" s="18">
        <f t="shared" si="4"/>
        <v>1600000000000</v>
      </c>
      <c r="G17" s="18">
        <f t="shared" si="4"/>
        <v>1840000000000</v>
      </c>
      <c r="H17" s="18">
        <f t="shared" si="4"/>
        <v>652000000000</v>
      </c>
      <c r="I17" s="18">
        <f t="shared" si="4"/>
        <v>148000000000</v>
      </c>
      <c r="J17" s="18">
        <f t="shared" si="4"/>
        <v>128000000000</v>
      </c>
      <c r="K17" s="18">
        <f t="shared" si="4"/>
        <v>408000000000</v>
      </c>
      <c r="L17" s="18">
        <f t="shared" si="4"/>
        <v>340000000000</v>
      </c>
      <c r="M17" s="18">
        <f t="shared" si="4"/>
        <v>320000000000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 spans="1:25" x14ac:dyDescent="0.2">
      <c r="A18" s="4" t="s">
        <v>13</v>
      </c>
      <c r="B18" s="9">
        <f>LOG(B17)</f>
        <v>12.170261715394957</v>
      </c>
      <c r="C18" s="9">
        <f t="shared" ref="C18:J18" si="5">LOG(C17)</f>
        <v>12.27415784926368</v>
      </c>
      <c r="D18" s="9">
        <f t="shared" si="5"/>
        <v>12.225309281725863</v>
      </c>
      <c r="E18" s="9">
        <f t="shared" si="5"/>
        <v>12.264817823009537</v>
      </c>
      <c r="F18" s="9">
        <f t="shared" si="5"/>
        <v>12.204119982655925</v>
      </c>
      <c r="G18" s="9">
        <f t="shared" si="5"/>
        <v>12.264817823009537</v>
      </c>
      <c r="H18" s="9">
        <f t="shared" si="5"/>
        <v>11.814247595731921</v>
      </c>
      <c r="I18" s="9">
        <f t="shared" si="5"/>
        <v>11.170261715394957</v>
      </c>
      <c r="J18" s="9">
        <f t="shared" si="5"/>
        <v>11.107209969647869</v>
      </c>
      <c r="K18" s="9">
        <f>LOG(K17)</f>
        <v>11.61066016308988</v>
      </c>
      <c r="L18" s="9">
        <f>LOG(L17)</f>
        <v>11.531478917042255</v>
      </c>
      <c r="M18" s="9">
        <f>LOG(M17)</f>
        <v>11.505149978319906</v>
      </c>
    </row>
    <row r="19" spans="1:25" ht="15.75" x14ac:dyDescent="0.25">
      <c r="A19" s="12"/>
      <c r="B19" s="8"/>
      <c r="C19" s="8"/>
      <c r="D19" s="8"/>
      <c r="E19" s="8"/>
      <c r="F19" s="8"/>
      <c r="G19" s="8"/>
      <c r="H19" s="8"/>
      <c r="I19" s="8"/>
      <c r="J19" s="8"/>
      <c r="K19" s="5"/>
      <c r="L19" s="5"/>
      <c r="M19" s="5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 spans="1:25" x14ac:dyDescent="0.2">
      <c r="A20" s="19" t="s">
        <v>11</v>
      </c>
      <c r="B20" s="20" t="s">
        <v>18</v>
      </c>
      <c r="C20" s="20" t="s">
        <v>18</v>
      </c>
      <c r="D20" s="20" t="s">
        <v>18</v>
      </c>
      <c r="K20" s="6"/>
      <c r="L20" s="6"/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spans="1:25" x14ac:dyDescent="0.2">
      <c r="A21" s="21" t="s">
        <v>1</v>
      </c>
      <c r="B21" s="17">
        <v>3</v>
      </c>
      <c r="C21" s="17">
        <v>3</v>
      </c>
      <c r="D21" s="17">
        <v>3</v>
      </c>
      <c r="K21" s="6"/>
      <c r="L21" s="6"/>
      <c r="M21" s="6"/>
    </row>
    <row r="22" spans="1:25" x14ac:dyDescent="0.2">
      <c r="A22" s="21" t="s">
        <v>12</v>
      </c>
      <c r="B22" s="17">
        <v>66</v>
      </c>
      <c r="C22" s="17">
        <v>43</v>
      </c>
      <c r="D22" s="17">
        <v>35</v>
      </c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 spans="1:25" s="2" customFormat="1" x14ac:dyDescent="0.2">
      <c r="A23" s="22" t="s">
        <v>2</v>
      </c>
      <c r="B23" s="18">
        <f>B22*40*POWER(10,B21)*1000</f>
        <v>2640000000</v>
      </c>
      <c r="C23" s="18">
        <f t="shared" ref="C23:D23" si="6">C22*40*POWER(10,C21)*1000</f>
        <v>1720000000</v>
      </c>
      <c r="D23" s="18">
        <f t="shared" si="6"/>
        <v>1400000000</v>
      </c>
      <c r="E23" s="3"/>
      <c r="F23" s="3"/>
      <c r="G23" s="3"/>
      <c r="H23" s="7"/>
      <c r="I23" s="1"/>
      <c r="J23" s="1"/>
      <c r="K23" s="10"/>
      <c r="L23" s="10"/>
      <c r="M23" s="10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</row>
    <row r="24" spans="1:25" s="2" customFormat="1" ht="15" customHeight="1" x14ac:dyDescent="0.2">
      <c r="A24" s="4" t="s">
        <v>13</v>
      </c>
      <c r="B24" s="9">
        <f>LOG(B23)</f>
        <v>9.4216039268698317</v>
      </c>
      <c r="C24" s="9">
        <f t="shared" ref="C24:D24" si="7">LOG(C23)</f>
        <v>9.2355284469075496</v>
      </c>
      <c r="D24" s="9">
        <f t="shared" si="7"/>
        <v>9.1461280356782382</v>
      </c>
      <c r="E24" s="3"/>
      <c r="F24" s="3"/>
      <c r="G24" s="3"/>
      <c r="H24" s="7"/>
      <c r="I24" s="1"/>
      <c r="J24" s="1"/>
      <c r="K24" s="8"/>
      <c r="L24" s="8"/>
      <c r="M24" s="8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</row>
    <row r="25" spans="1:25" ht="15.95" customHeight="1" x14ac:dyDescent="0.2">
      <c r="C25" s="3"/>
      <c r="D25" s="3"/>
      <c r="E25" s="3"/>
      <c r="F25" s="3"/>
      <c r="G25" s="3"/>
      <c r="H25" s="7"/>
      <c r="K25" s="8"/>
      <c r="L25" s="8"/>
      <c r="M25" s="8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</row>
    <row r="26" spans="1:25" x14ac:dyDescent="0.2">
      <c r="C26" s="3"/>
      <c r="D26" s="3"/>
      <c r="E26" s="3"/>
      <c r="F26" s="3"/>
      <c r="G26" s="3"/>
      <c r="K26" s="8"/>
      <c r="L26" s="8"/>
      <c r="M26" s="8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</row>
    <row r="27" spans="1:25" x14ac:dyDescent="0.2">
      <c r="K27" s="8"/>
      <c r="L27" s="8"/>
      <c r="M27" s="8"/>
    </row>
    <row r="28" spans="1:25" x14ac:dyDescent="0.2">
      <c r="C28" s="3"/>
      <c r="D28" s="3"/>
      <c r="E28" s="3"/>
      <c r="F28" s="3"/>
      <c r="G28" s="3"/>
      <c r="H28" s="7"/>
      <c r="K28" s="8"/>
      <c r="L28" s="8"/>
      <c r="M28" s="8"/>
    </row>
    <row r="29" spans="1:25" x14ac:dyDescent="0.2">
      <c r="C29" s="3"/>
      <c r="D29" s="3"/>
      <c r="E29" s="3"/>
      <c r="F29" s="3"/>
      <c r="G29" s="3"/>
      <c r="H29" s="7"/>
      <c r="K29" s="13"/>
      <c r="L29" s="13"/>
      <c r="M29" s="13"/>
    </row>
    <row r="30" spans="1:25" x14ac:dyDescent="0.2">
      <c r="C30" s="3"/>
      <c r="D30" s="3"/>
      <c r="E30" s="3"/>
      <c r="F30" s="3"/>
      <c r="G30" s="3"/>
      <c r="H30" s="7"/>
    </row>
    <row r="34" spans="14:28" ht="15" customHeight="1" x14ac:dyDescent="0.2"/>
    <row r="35" spans="14:28" x14ac:dyDescent="0.2"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</row>
    <row r="36" spans="14:28" x14ac:dyDescent="0.2"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</row>
    <row r="37" spans="14:28" x14ac:dyDescent="0.2"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</row>
    <row r="38" spans="14:28" x14ac:dyDescent="0.2"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</row>
    <row r="39" spans="14:28" x14ac:dyDescent="0.2"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</row>
    <row r="40" spans="14:28" x14ac:dyDescent="0.2"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</row>
    <row r="41" spans="14:28" x14ac:dyDescent="0.2"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56343-5AD9-4F8B-818E-25934F92B363}">
  <dimension ref="A1:F9"/>
  <sheetViews>
    <sheetView workbookViewId="0">
      <selection activeCell="F24" sqref="F24"/>
    </sheetView>
  </sheetViews>
  <sheetFormatPr defaultRowHeight="15.75" x14ac:dyDescent="0.25"/>
  <cols>
    <col min="2" max="2" width="16.85546875" customWidth="1"/>
    <col min="4" max="4" width="17.42578125" customWidth="1"/>
  </cols>
  <sheetData>
    <row r="1" spans="1:6" x14ac:dyDescent="0.25">
      <c r="A1" s="1" t="s">
        <v>19</v>
      </c>
      <c r="B1" s="20" t="s">
        <v>3</v>
      </c>
      <c r="C1" s="1"/>
      <c r="D1" s="1"/>
      <c r="E1" s="1"/>
      <c r="F1" s="1"/>
    </row>
    <row r="2" spans="1:6" x14ac:dyDescent="0.25">
      <c r="A2" s="21" t="s">
        <v>1</v>
      </c>
      <c r="B2" s="17">
        <v>5</v>
      </c>
      <c r="C2" s="1"/>
      <c r="D2" s="1"/>
      <c r="E2" s="1"/>
      <c r="F2" s="1"/>
    </row>
    <row r="3" spans="1:6" x14ac:dyDescent="0.25">
      <c r="A3" s="21" t="s">
        <v>12</v>
      </c>
      <c r="B3" s="17">
        <v>50</v>
      </c>
      <c r="C3" s="1"/>
      <c r="D3" s="1"/>
      <c r="E3" s="1"/>
      <c r="F3" s="1"/>
    </row>
    <row r="4" spans="1:6" x14ac:dyDescent="0.25">
      <c r="A4" s="22" t="s">
        <v>2</v>
      </c>
      <c r="B4" s="18">
        <f>B3*POWER(10,B2)*1000</f>
        <v>5000000000</v>
      </c>
      <c r="C4" s="1"/>
      <c r="D4" s="1"/>
      <c r="E4" s="1"/>
      <c r="F4" s="1"/>
    </row>
    <row r="5" spans="1:6" x14ac:dyDescent="0.25">
      <c r="A5" s="4" t="s">
        <v>13</v>
      </c>
      <c r="B5" s="9">
        <f>LOG(B4)</f>
        <v>9.6989700043360187</v>
      </c>
      <c r="C5" s="1"/>
      <c r="D5" s="1"/>
      <c r="E5" s="1"/>
      <c r="F5" s="1"/>
    </row>
    <row r="6" spans="1:6" x14ac:dyDescent="0.25">
      <c r="A6" s="1" t="s">
        <v>20</v>
      </c>
      <c r="B6" s="19" t="s">
        <v>0</v>
      </c>
      <c r="C6" s="1"/>
      <c r="D6" s="1"/>
      <c r="E6" s="1"/>
      <c r="F6" s="1"/>
    </row>
    <row r="7" spans="1:6" x14ac:dyDescent="0.25">
      <c r="A7" s="1"/>
      <c r="B7" s="1"/>
      <c r="C7" s="1"/>
      <c r="D7" s="1"/>
      <c r="E7" s="1"/>
      <c r="F7" s="1"/>
    </row>
    <row r="8" spans="1:6" x14ac:dyDescent="0.25">
      <c r="A8" s="1" t="s">
        <v>19</v>
      </c>
      <c r="B8" s="21" t="s">
        <v>1</v>
      </c>
      <c r="C8" s="21" t="s">
        <v>12</v>
      </c>
      <c r="D8" s="22" t="s">
        <v>2</v>
      </c>
      <c r="E8" s="4" t="s">
        <v>13</v>
      </c>
      <c r="F8" s="1" t="s">
        <v>20</v>
      </c>
    </row>
    <row r="9" spans="1:6" x14ac:dyDescent="0.25">
      <c r="A9" s="20" t="s">
        <v>3</v>
      </c>
      <c r="B9" s="17">
        <v>5</v>
      </c>
      <c r="C9" s="17">
        <v>50</v>
      </c>
      <c r="D9" s="18">
        <f>C9*POWER(10,B9)*1000</f>
        <v>5000000000</v>
      </c>
      <c r="E9" s="9">
        <f>LOG(D9)</f>
        <v>9.6989700043360187</v>
      </c>
      <c r="F9" s="19" t="s">
        <v>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0 hr</vt:lpstr>
      <vt:lpstr>24 hr</vt:lpstr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王廣宇</cp:lastModifiedBy>
  <dcterms:created xsi:type="dcterms:W3CDTF">2022-06-29T05:46:17Z</dcterms:created>
  <dcterms:modified xsi:type="dcterms:W3CDTF">2026-04-24T09:16:29Z</dcterms:modified>
</cp:coreProperties>
</file>