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yen\Desktop\N312 (20260421)\1. Project\C. elegan project\Results\"/>
    </mc:Choice>
  </mc:AlternateContent>
  <xr:revisionPtr revIDLastSave="0" documentId="13_ncr:1_{BECB21B1-1AA8-4054-98D3-A28EB1A8D69B}" xr6:coauthVersionLast="36" xr6:coauthVersionMax="36" xr10:uidLastSave="{00000000-0000-0000-0000-000000000000}"/>
  <bookViews>
    <workbookView xWindow="0" yWindow="0" windowWidth="120" windowHeight="9231" activeTab="2" xr2:uid="{E6C32BF8-1525-434E-B7DA-A8551CFC3E33}"/>
  </bookViews>
  <sheets>
    <sheet name="0 hr" sheetId="4" r:id="rId1"/>
    <sheet name="12 hr" sheetId="11" r:id="rId2"/>
    <sheet name="24 hr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0" l="1"/>
  <c r="J12" i="10"/>
  <c r="M17" i="11" l="1"/>
  <c r="M18" i="11" s="1"/>
  <c r="L17" i="11"/>
  <c r="L18" i="11" s="1"/>
  <c r="K17" i="11"/>
  <c r="K18" i="11" s="1"/>
  <c r="J17" i="11"/>
  <c r="J18" i="11" s="1"/>
  <c r="I17" i="11"/>
  <c r="I18" i="11" s="1"/>
  <c r="H17" i="11"/>
  <c r="H18" i="11" s="1"/>
  <c r="G17" i="11"/>
  <c r="G18" i="11" s="1"/>
  <c r="F17" i="11"/>
  <c r="F18" i="11" s="1"/>
  <c r="E17" i="11"/>
  <c r="E18" i="11" s="1"/>
  <c r="D17" i="11"/>
  <c r="D18" i="11" s="1"/>
  <c r="C17" i="11"/>
  <c r="C18" i="11" s="1"/>
  <c r="B17" i="11"/>
  <c r="B18" i="11" s="1"/>
  <c r="J12" i="11"/>
  <c r="I12" i="11"/>
  <c r="F12" i="11"/>
  <c r="E12" i="11"/>
  <c r="B12" i="11"/>
  <c r="M11" i="11"/>
  <c r="M12" i="11" s="1"/>
  <c r="L11" i="11"/>
  <c r="L12" i="11" s="1"/>
  <c r="K11" i="11"/>
  <c r="K12" i="11" s="1"/>
  <c r="J11" i="11"/>
  <c r="I11" i="11"/>
  <c r="H11" i="11"/>
  <c r="H12" i="11" s="1"/>
  <c r="G11" i="11"/>
  <c r="G12" i="11" s="1"/>
  <c r="F11" i="11"/>
  <c r="E11" i="11"/>
  <c r="D11" i="11"/>
  <c r="D12" i="11" s="1"/>
  <c r="C11" i="11"/>
  <c r="C12" i="11" s="1"/>
  <c r="B11" i="11"/>
  <c r="G6" i="11"/>
  <c r="F6" i="11"/>
  <c r="C6" i="11"/>
  <c r="M5" i="11"/>
  <c r="M6" i="11" s="1"/>
  <c r="L5" i="11"/>
  <c r="L6" i="11" s="1"/>
  <c r="K5" i="11"/>
  <c r="K6" i="11" s="1"/>
  <c r="J5" i="11"/>
  <c r="J6" i="11" s="1"/>
  <c r="I5" i="11"/>
  <c r="I6" i="11" s="1"/>
  <c r="H5" i="11"/>
  <c r="H6" i="11" s="1"/>
  <c r="G5" i="11"/>
  <c r="F5" i="11"/>
  <c r="E5" i="11"/>
  <c r="E6" i="11" s="1"/>
  <c r="D5" i="11"/>
  <c r="D6" i="11" s="1"/>
  <c r="C5" i="11"/>
  <c r="B5" i="11"/>
  <c r="B6" i="11" s="1"/>
  <c r="C17" i="10" l="1"/>
  <c r="C18" i="10" s="1"/>
  <c r="D17" i="10"/>
  <c r="D18" i="10" s="1"/>
  <c r="E17" i="10"/>
  <c r="E18" i="10" s="1"/>
  <c r="F17" i="10"/>
  <c r="F18" i="10" s="1"/>
  <c r="G17" i="10"/>
  <c r="G18" i="10" s="1"/>
  <c r="H17" i="10"/>
  <c r="H18" i="10" s="1"/>
  <c r="I17" i="10"/>
  <c r="I18" i="10" s="1"/>
  <c r="J17" i="10"/>
  <c r="J18" i="10" s="1"/>
  <c r="K17" i="10"/>
  <c r="L17" i="10"/>
  <c r="L18" i="10" s="1"/>
  <c r="M17" i="10"/>
  <c r="M18" i="10" s="1"/>
  <c r="K18" i="10"/>
  <c r="C11" i="10"/>
  <c r="C12" i="10" s="1"/>
  <c r="D11" i="10"/>
  <c r="D12" i="10" s="1"/>
  <c r="E11" i="10"/>
  <c r="E12" i="10" s="1"/>
  <c r="F11" i="10"/>
  <c r="F12" i="10" s="1"/>
  <c r="G11" i="10"/>
  <c r="H11" i="10"/>
  <c r="H12" i="10" s="1"/>
  <c r="I11" i="10"/>
  <c r="J11" i="10"/>
  <c r="K11" i="10"/>
  <c r="K12" i="10" s="1"/>
  <c r="L11" i="10"/>
  <c r="L12" i="10" s="1"/>
  <c r="M11" i="10"/>
  <c r="M12" i="10" s="1"/>
  <c r="G12" i="10"/>
  <c r="C6" i="10"/>
  <c r="D6" i="10"/>
  <c r="C5" i="10"/>
  <c r="D5" i="10"/>
  <c r="E5" i="10"/>
  <c r="E6" i="10" s="1"/>
  <c r="F5" i="10"/>
  <c r="F6" i="10" s="1"/>
  <c r="G5" i="10"/>
  <c r="G6" i="10" s="1"/>
  <c r="H5" i="10"/>
  <c r="H6" i="10" s="1"/>
  <c r="I5" i="10"/>
  <c r="I6" i="10" s="1"/>
  <c r="J5" i="10"/>
  <c r="J6" i="10" s="1"/>
  <c r="K5" i="10"/>
  <c r="K6" i="10" s="1"/>
  <c r="L5" i="10"/>
  <c r="L6" i="10" s="1"/>
  <c r="M5" i="10"/>
  <c r="M6" i="10" s="1"/>
  <c r="C17" i="4"/>
  <c r="C18" i="4" s="1"/>
  <c r="D17" i="4"/>
  <c r="D18" i="4" s="1"/>
  <c r="E17" i="4"/>
  <c r="E18" i="4" s="1"/>
  <c r="F17" i="4"/>
  <c r="F18" i="4" s="1"/>
  <c r="G17" i="4"/>
  <c r="G18" i="4" s="1"/>
  <c r="H17" i="4"/>
  <c r="H18" i="4" s="1"/>
  <c r="I17" i="4"/>
  <c r="I18" i="4" s="1"/>
  <c r="J17" i="4"/>
  <c r="J18" i="4" s="1"/>
  <c r="K17" i="4"/>
  <c r="K18" i="4" s="1"/>
  <c r="L17" i="4"/>
  <c r="L18" i="4" s="1"/>
  <c r="M17" i="4"/>
  <c r="M18" i="4" s="1"/>
  <c r="C11" i="4"/>
  <c r="C12" i="4" s="1"/>
  <c r="D11" i="4"/>
  <c r="D12" i="4" s="1"/>
  <c r="E11" i="4"/>
  <c r="E12" i="4" s="1"/>
  <c r="F11" i="4"/>
  <c r="F12" i="4" s="1"/>
  <c r="G11" i="4"/>
  <c r="G12" i="4" s="1"/>
  <c r="H11" i="4"/>
  <c r="H12" i="4" s="1"/>
  <c r="I11" i="4"/>
  <c r="I12" i="4" s="1"/>
  <c r="J11" i="4"/>
  <c r="J12" i="4" s="1"/>
  <c r="K11" i="4"/>
  <c r="K12" i="4" s="1"/>
  <c r="L11" i="4"/>
  <c r="L12" i="4" s="1"/>
  <c r="M11" i="4"/>
  <c r="M12" i="4" s="1"/>
  <c r="C5" i="4"/>
  <c r="C6" i="4" s="1"/>
  <c r="D5" i="4"/>
  <c r="D6" i="4" s="1"/>
  <c r="E5" i="4"/>
  <c r="E6" i="4" s="1"/>
  <c r="F5" i="4"/>
  <c r="F6" i="4" s="1"/>
  <c r="G5" i="4"/>
  <c r="G6" i="4" s="1"/>
  <c r="H5" i="4"/>
  <c r="H6" i="4" s="1"/>
  <c r="I5" i="4"/>
  <c r="I6" i="4" s="1"/>
  <c r="J5" i="4"/>
  <c r="J6" i="4" s="1"/>
  <c r="K5" i="4"/>
  <c r="K6" i="4" s="1"/>
  <c r="L5" i="4"/>
  <c r="L6" i="4" s="1"/>
  <c r="M5" i="4"/>
  <c r="M6" i="4" s="1"/>
  <c r="B17" i="10"/>
  <c r="B18" i="10" s="1"/>
  <c r="B11" i="10"/>
  <c r="B12" i="10" s="1"/>
  <c r="B5" i="10"/>
  <c r="B6" i="10" s="1"/>
  <c r="B17" i="4" l="1"/>
  <c r="B18" i="4" s="1"/>
  <c r="B11" i="4"/>
  <c r="B12" i="4" s="1"/>
  <c r="B5" i="4" l="1"/>
  <c r="B6" i="4" s="1"/>
</calcChain>
</file>

<file path=xl/sharedStrings.xml><?xml version="1.0" encoding="utf-8"?>
<sst xmlns="http://schemas.openxmlformats.org/spreadsheetml/2006/main" count="153" uniqueCount="19">
  <si>
    <t>0hr</t>
  </si>
  <si>
    <t>dilution (pwr)</t>
    <phoneticPr fontId="1" type="noConversion"/>
  </si>
  <si>
    <t>CFU/ml</t>
    <phoneticPr fontId="1" type="noConversion"/>
  </si>
  <si>
    <t>BIGb0170</t>
    <phoneticPr fontId="5" type="noConversion"/>
  </si>
  <si>
    <t>BIGb0172</t>
    <phoneticPr fontId="5" type="noConversion"/>
  </si>
  <si>
    <t>BIGb0393</t>
    <phoneticPr fontId="5" type="noConversion"/>
  </si>
  <si>
    <t>JUb44</t>
    <phoneticPr fontId="5" type="noConversion"/>
  </si>
  <si>
    <t>24hr</t>
    <phoneticPr fontId="1" type="noConversion"/>
  </si>
  <si>
    <t>CeMbio</t>
    <phoneticPr fontId="1" type="noConversion"/>
  </si>
  <si>
    <t>log CFU/ml</t>
    <phoneticPr fontId="5" type="noConversion"/>
  </si>
  <si>
    <t>JUb19</t>
    <phoneticPr fontId="5" type="noConversion"/>
  </si>
  <si>
    <t>JUb66</t>
    <phoneticPr fontId="5" type="noConversion"/>
  </si>
  <si>
    <t>CEN2ent</t>
  </si>
  <si>
    <t>MSPm1</t>
  </si>
  <si>
    <t>MYb71</t>
  </si>
  <si>
    <t>MYb11</t>
  </si>
  <si>
    <t>MYb10</t>
  </si>
  <si>
    <t>JUb134</t>
  </si>
  <si>
    <t>12hr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</si>
</sst>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.0"/>
    <numFmt numFmtId="178" formatCode="0.000000_ "/>
    <numFmt numFmtId="179" formatCode="0.000000_);[Red]\(0.000000\)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2"/>
      <color theme="1"/>
      <name val="Arial"/>
      <family val="2"/>
    </font>
    <font>
      <sz val="9"/>
      <name val="新細明體"/>
      <family val="1"/>
      <charset val="136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E9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Fill="1"/>
    <xf numFmtId="0" fontId="6" fillId="0" borderId="0" xfId="0" applyFont="1" applyFill="1"/>
    <xf numFmtId="2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0" fontId="2" fillId="0" borderId="0" xfId="0" applyFont="1" applyBorder="1"/>
    <xf numFmtId="176" fontId="2" fillId="0" borderId="0" xfId="0" applyNumberFormat="1" applyFont="1" applyBorder="1"/>
    <xf numFmtId="176" fontId="2" fillId="0" borderId="0" xfId="0" applyNumberFormat="1" applyFont="1"/>
    <xf numFmtId="0" fontId="2" fillId="0" borderId="0" xfId="0" applyFont="1" applyFill="1" applyBorder="1"/>
    <xf numFmtId="178" fontId="2" fillId="0" borderId="0" xfId="0" applyNumberFormat="1" applyFont="1" applyFill="1" applyBorder="1"/>
    <xf numFmtId="176" fontId="2" fillId="0" borderId="0" xfId="0" applyNumberFormat="1" applyFont="1" applyFill="1" applyBorder="1"/>
    <xf numFmtId="177" fontId="2" fillId="0" borderId="0" xfId="0" applyNumberFormat="1" applyFont="1" applyFill="1" applyBorder="1"/>
    <xf numFmtId="20" fontId="2" fillId="0" borderId="0" xfId="0" applyNumberFormat="1" applyFont="1" applyFill="1" applyBorder="1" applyAlignment="1">
      <alignment horizontal="center" vertical="center"/>
    </xf>
    <xf numFmtId="11" fontId="2" fillId="0" borderId="0" xfId="0" applyNumberFormat="1" applyFont="1" applyFill="1" applyBorder="1"/>
    <xf numFmtId="0" fontId="4" fillId="0" borderId="0" xfId="0" applyFont="1" applyFill="1" applyBorder="1" applyAlignment="1">
      <alignment horizontal="center"/>
    </xf>
    <xf numFmtId="179" fontId="2" fillId="0" borderId="0" xfId="0" applyNumberFormat="1" applyFont="1" applyFill="1" applyBorder="1"/>
    <xf numFmtId="20" fontId="2" fillId="6" borderId="0" xfId="0" applyNumberFormat="1" applyFont="1" applyFill="1" applyBorder="1" applyAlignment="1">
      <alignment horizontal="center"/>
    </xf>
    <xf numFmtId="20" fontId="2" fillId="2" borderId="0" xfId="0" applyNumberFormat="1" applyFont="1" applyFill="1" applyBorder="1" applyAlignment="1">
      <alignment horizontal="center"/>
    </xf>
    <xf numFmtId="20" fontId="2" fillId="5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right"/>
    </xf>
    <xf numFmtId="3" fontId="2" fillId="3" borderId="0" xfId="0" applyNumberFormat="1" applyFont="1" applyFill="1" applyBorder="1" applyAlignment="1">
      <alignment horizontal="right"/>
    </xf>
    <xf numFmtId="0" fontId="6" fillId="0" borderId="0" xfId="0" applyFont="1" applyFill="1" applyBorder="1"/>
    <xf numFmtId="0" fontId="3" fillId="0" borderId="0" xfId="0" applyFont="1" applyBorder="1" applyAlignment="1">
      <alignment horizontal="center"/>
    </xf>
    <xf numFmtId="20" fontId="2" fillId="4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EBE993"/>
      <color rgb="FFC6C609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F874-EB45-5845-81AB-2FF2763C4EEF}">
  <dimension ref="A1:AB42"/>
  <sheetViews>
    <sheetView topLeftCell="H1" zoomScale="74" zoomScaleNormal="74" workbookViewId="0">
      <selection activeCell="B18" sqref="B18:M18"/>
    </sheetView>
  </sheetViews>
  <sheetFormatPr defaultColWidth="9" defaultRowHeight="14.15" x14ac:dyDescent="0.35"/>
  <cols>
    <col min="1" max="13" width="20.58203125" style="1" customWidth="1"/>
    <col min="14" max="15" width="17.5" style="1" customWidth="1"/>
    <col min="16" max="16" width="18.6640625" style="1" customWidth="1"/>
    <col min="17" max="17" width="17.25" style="1" customWidth="1"/>
    <col min="18" max="18" width="18" style="1" customWidth="1"/>
    <col min="19" max="19" width="17.75" style="1" customWidth="1"/>
    <col min="20" max="20" width="17.6640625" style="1" customWidth="1"/>
    <col min="21" max="21" width="17.58203125" style="1" customWidth="1"/>
    <col min="22" max="22" width="18.9140625" style="1" customWidth="1"/>
    <col min="23" max="23" width="18.4140625" style="1" customWidth="1"/>
    <col min="24" max="24" width="18.25" style="1" customWidth="1"/>
    <col min="25" max="25" width="18.9140625" style="1" customWidth="1"/>
    <col min="26" max="16384" width="9" style="1"/>
  </cols>
  <sheetData>
    <row r="1" spans="1:28" x14ac:dyDescent="0.35"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35">
      <c r="A2" s="25" t="s">
        <v>0</v>
      </c>
      <c r="B2" s="26" t="s">
        <v>3</v>
      </c>
      <c r="C2" s="26" t="s">
        <v>3</v>
      </c>
      <c r="D2" s="26" t="s">
        <v>3</v>
      </c>
      <c r="E2" s="19" t="s">
        <v>4</v>
      </c>
      <c r="F2" s="19" t="s">
        <v>4</v>
      </c>
      <c r="G2" s="19" t="s">
        <v>4</v>
      </c>
      <c r="H2" s="20" t="s">
        <v>5</v>
      </c>
      <c r="I2" s="20" t="s">
        <v>5</v>
      </c>
      <c r="J2" s="20" t="s">
        <v>5</v>
      </c>
      <c r="K2" s="21" t="s">
        <v>10</v>
      </c>
      <c r="L2" s="21" t="s">
        <v>10</v>
      </c>
      <c r="M2" s="21" t="s">
        <v>10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5">
      <c r="A3" s="27" t="s">
        <v>1</v>
      </c>
      <c r="B3" s="22">
        <v>5</v>
      </c>
      <c r="C3" s="22">
        <v>5</v>
      </c>
      <c r="D3" s="22">
        <v>5</v>
      </c>
      <c r="E3" s="22">
        <v>4</v>
      </c>
      <c r="F3" s="22">
        <v>4</v>
      </c>
      <c r="G3" s="22">
        <v>4</v>
      </c>
      <c r="H3" s="22">
        <v>5</v>
      </c>
      <c r="I3" s="22">
        <v>5</v>
      </c>
      <c r="J3" s="22">
        <v>5</v>
      </c>
      <c r="K3" s="22">
        <v>5</v>
      </c>
      <c r="L3" s="22">
        <v>5</v>
      </c>
      <c r="M3" s="22">
        <v>5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5">
      <c r="A4" s="27" t="s">
        <v>8</v>
      </c>
      <c r="B4" s="22">
        <v>85</v>
      </c>
      <c r="C4" s="22">
        <v>78</v>
      </c>
      <c r="D4" s="22">
        <v>78</v>
      </c>
      <c r="E4" s="22">
        <v>46</v>
      </c>
      <c r="F4" s="22">
        <v>38</v>
      </c>
      <c r="G4" s="22">
        <v>51</v>
      </c>
      <c r="H4" s="22">
        <v>37</v>
      </c>
      <c r="I4" s="22">
        <v>37</v>
      </c>
      <c r="J4" s="22">
        <v>40</v>
      </c>
      <c r="K4" s="22">
        <v>43</v>
      </c>
      <c r="L4" s="22">
        <v>35</v>
      </c>
      <c r="M4" s="22">
        <v>38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21.9" customHeight="1" x14ac:dyDescent="0.35">
      <c r="A5" s="28" t="s">
        <v>2</v>
      </c>
      <c r="B5" s="23">
        <f>B4*POWER(10,B3)*1000</f>
        <v>8500000000</v>
      </c>
      <c r="C5" s="23">
        <f t="shared" ref="C5:M5" si="0">C4*POWER(10,C3)*1000</f>
        <v>7800000000</v>
      </c>
      <c r="D5" s="23">
        <f t="shared" si="0"/>
        <v>7800000000</v>
      </c>
      <c r="E5" s="23">
        <f t="shared" si="0"/>
        <v>460000000</v>
      </c>
      <c r="F5" s="23">
        <f t="shared" si="0"/>
        <v>380000000</v>
      </c>
      <c r="G5" s="23">
        <f t="shared" si="0"/>
        <v>510000000</v>
      </c>
      <c r="H5" s="23">
        <f t="shared" si="0"/>
        <v>3700000000</v>
      </c>
      <c r="I5" s="23">
        <f t="shared" si="0"/>
        <v>3700000000</v>
      </c>
      <c r="J5" s="23">
        <f t="shared" si="0"/>
        <v>4000000000</v>
      </c>
      <c r="K5" s="23">
        <f t="shared" si="0"/>
        <v>4300000000</v>
      </c>
      <c r="L5" s="23">
        <f t="shared" si="0"/>
        <v>3500000000</v>
      </c>
      <c r="M5" s="23">
        <f t="shared" si="0"/>
        <v>3800000000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8"/>
      <c r="AA5" s="8"/>
      <c r="AB5" s="8"/>
    </row>
    <row r="6" spans="1:28" x14ac:dyDescent="0.35">
      <c r="A6" s="5" t="s">
        <v>9</v>
      </c>
      <c r="B6" s="14">
        <f t="shared" ref="B6:M6" si="1">LOG(B5)</f>
        <v>9.9294189257142929</v>
      </c>
      <c r="C6" s="14">
        <f t="shared" si="1"/>
        <v>9.8920946026904808</v>
      </c>
      <c r="D6" s="14">
        <f t="shared" si="1"/>
        <v>9.8920946026904808</v>
      </c>
      <c r="E6" s="14">
        <f t="shared" si="1"/>
        <v>8.6627578316815743</v>
      </c>
      <c r="F6" s="14">
        <f t="shared" si="1"/>
        <v>8.5797835966168101</v>
      </c>
      <c r="G6" s="14">
        <f t="shared" si="1"/>
        <v>8.7075701760979367</v>
      </c>
      <c r="H6" s="14">
        <f t="shared" si="1"/>
        <v>9.568201724066995</v>
      </c>
      <c r="I6" s="14">
        <f t="shared" si="1"/>
        <v>9.568201724066995</v>
      </c>
      <c r="J6" s="14">
        <f t="shared" si="1"/>
        <v>9.6020599913279625</v>
      </c>
      <c r="K6" s="14">
        <f t="shared" si="1"/>
        <v>9.6334684555795871</v>
      </c>
      <c r="L6" s="14">
        <f t="shared" si="1"/>
        <v>9.5440680443502757</v>
      </c>
      <c r="M6" s="14">
        <f t="shared" si="1"/>
        <v>9.5797835966168101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8"/>
      <c r="AA6" s="8"/>
      <c r="AB6" s="8"/>
    </row>
    <row r="7" spans="1:28" x14ac:dyDescent="0.35">
      <c r="E7" s="8"/>
      <c r="F7" s="8"/>
      <c r="G7" s="8"/>
      <c r="H7" s="8"/>
      <c r="I7" s="8"/>
      <c r="J7" s="8"/>
      <c r="K7" s="8"/>
      <c r="L7" s="8"/>
      <c r="M7" s="8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8"/>
      <c r="AA7" s="8"/>
      <c r="AB7" s="8"/>
    </row>
    <row r="8" spans="1:28" x14ac:dyDescent="0.35">
      <c r="A8" s="25" t="s">
        <v>0</v>
      </c>
      <c r="B8" s="26" t="s">
        <v>6</v>
      </c>
      <c r="C8" s="26" t="s">
        <v>6</v>
      </c>
      <c r="D8" s="26" t="s">
        <v>6</v>
      </c>
      <c r="E8" s="19" t="s">
        <v>11</v>
      </c>
      <c r="F8" s="19" t="s">
        <v>11</v>
      </c>
      <c r="G8" s="19" t="s">
        <v>11</v>
      </c>
      <c r="H8" s="20" t="s">
        <v>17</v>
      </c>
      <c r="I8" s="20" t="s">
        <v>17</v>
      </c>
      <c r="J8" s="20" t="s">
        <v>17</v>
      </c>
      <c r="K8" s="21" t="s">
        <v>16</v>
      </c>
      <c r="L8" s="21" t="s">
        <v>16</v>
      </c>
      <c r="M8" s="21" t="s">
        <v>16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AA8" s="8"/>
      <c r="AB8" s="8"/>
    </row>
    <row r="9" spans="1:28" x14ac:dyDescent="0.35">
      <c r="A9" s="27" t="s">
        <v>1</v>
      </c>
      <c r="B9" s="22">
        <v>5</v>
      </c>
      <c r="C9" s="22">
        <v>5</v>
      </c>
      <c r="D9" s="22">
        <v>5</v>
      </c>
      <c r="E9" s="22">
        <v>5</v>
      </c>
      <c r="F9" s="22">
        <v>5</v>
      </c>
      <c r="G9" s="22">
        <v>5</v>
      </c>
      <c r="H9" s="22">
        <v>5</v>
      </c>
      <c r="I9" s="22">
        <v>5</v>
      </c>
      <c r="J9" s="22">
        <v>5</v>
      </c>
      <c r="K9" s="22">
        <v>5</v>
      </c>
      <c r="L9" s="22">
        <v>5</v>
      </c>
      <c r="M9" s="22">
        <v>5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8"/>
      <c r="AA9" s="8"/>
      <c r="AB9" s="8"/>
    </row>
    <row r="10" spans="1:28" x14ac:dyDescent="0.35">
      <c r="A10" s="27" t="s">
        <v>8</v>
      </c>
      <c r="B10" s="22">
        <v>83</v>
      </c>
      <c r="C10" s="22">
        <v>83</v>
      </c>
      <c r="D10" s="22">
        <v>72</v>
      </c>
      <c r="E10" s="22">
        <v>72</v>
      </c>
      <c r="F10" s="22">
        <v>76</v>
      </c>
      <c r="G10" s="22">
        <v>76</v>
      </c>
      <c r="H10" s="22">
        <v>23</v>
      </c>
      <c r="I10" s="22">
        <v>24</v>
      </c>
      <c r="J10" s="22">
        <v>26</v>
      </c>
      <c r="K10" s="22">
        <v>38</v>
      </c>
      <c r="L10" s="22">
        <v>26</v>
      </c>
      <c r="M10" s="22">
        <v>23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8"/>
      <c r="AA10" s="8"/>
      <c r="AB10" s="8"/>
    </row>
    <row r="11" spans="1:28" x14ac:dyDescent="0.35">
      <c r="A11" s="28" t="s">
        <v>2</v>
      </c>
      <c r="B11" s="23">
        <f>B10*POWER(10,B9)*1000</f>
        <v>8300000000</v>
      </c>
      <c r="C11" s="23">
        <f t="shared" ref="C11:M11" si="2">C10*POWER(10,C9)*1000</f>
        <v>8300000000</v>
      </c>
      <c r="D11" s="23">
        <f t="shared" si="2"/>
        <v>7200000000</v>
      </c>
      <c r="E11" s="23">
        <f t="shared" si="2"/>
        <v>7200000000</v>
      </c>
      <c r="F11" s="23">
        <f t="shared" si="2"/>
        <v>7600000000</v>
      </c>
      <c r="G11" s="23">
        <f t="shared" si="2"/>
        <v>7600000000</v>
      </c>
      <c r="H11" s="23">
        <f t="shared" si="2"/>
        <v>2300000000</v>
      </c>
      <c r="I11" s="23">
        <f t="shared" si="2"/>
        <v>2400000000</v>
      </c>
      <c r="J11" s="23">
        <f t="shared" si="2"/>
        <v>2600000000</v>
      </c>
      <c r="K11" s="23">
        <f t="shared" si="2"/>
        <v>3800000000</v>
      </c>
      <c r="L11" s="23">
        <f t="shared" si="2"/>
        <v>2600000000</v>
      </c>
      <c r="M11" s="23">
        <f t="shared" si="2"/>
        <v>2300000000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AA11" s="8"/>
      <c r="AB11" s="8"/>
    </row>
    <row r="12" spans="1:28" x14ac:dyDescent="0.35">
      <c r="A12" s="5" t="s">
        <v>9</v>
      </c>
      <c r="B12" s="14">
        <f t="shared" ref="B12:M12" si="3">LOG(B11)</f>
        <v>9.9190780923760737</v>
      </c>
      <c r="C12" s="14">
        <f t="shared" si="3"/>
        <v>9.9190780923760737</v>
      </c>
      <c r="D12" s="14">
        <f t="shared" si="3"/>
        <v>9.857332496431269</v>
      </c>
      <c r="E12" s="14">
        <f t="shared" si="3"/>
        <v>9.857332496431269</v>
      </c>
      <c r="F12" s="14">
        <f t="shared" si="3"/>
        <v>9.8808135922807914</v>
      </c>
      <c r="G12" s="14">
        <f t="shared" si="3"/>
        <v>9.8808135922807914</v>
      </c>
      <c r="H12" s="14">
        <f t="shared" si="3"/>
        <v>9.3617278360175931</v>
      </c>
      <c r="I12" s="14">
        <f t="shared" si="3"/>
        <v>9.3802112417116064</v>
      </c>
      <c r="J12" s="14">
        <f t="shared" si="3"/>
        <v>9.4149733479708182</v>
      </c>
      <c r="K12" s="14">
        <f t="shared" si="3"/>
        <v>9.5797835966168101</v>
      </c>
      <c r="L12" s="14">
        <f t="shared" si="3"/>
        <v>9.4149733479708182</v>
      </c>
      <c r="M12" s="14">
        <f t="shared" si="3"/>
        <v>9.3617278360175931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8"/>
      <c r="AA12" s="8"/>
      <c r="AB12" s="8"/>
    </row>
    <row r="13" spans="1:28" ht="16" customHeight="1" x14ac:dyDescent="0.35">
      <c r="A13" s="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8"/>
      <c r="AA13" s="8"/>
      <c r="AB13" s="8"/>
    </row>
    <row r="14" spans="1:28" s="2" customFormat="1" ht="16" customHeight="1" x14ac:dyDescent="0.35">
      <c r="A14" s="25" t="s">
        <v>0</v>
      </c>
      <c r="B14" s="26" t="s">
        <v>15</v>
      </c>
      <c r="C14" s="26" t="s">
        <v>15</v>
      </c>
      <c r="D14" s="26" t="s">
        <v>15</v>
      </c>
      <c r="E14" s="19" t="s">
        <v>14</v>
      </c>
      <c r="F14" s="19" t="s">
        <v>14</v>
      </c>
      <c r="G14" s="19" t="s">
        <v>14</v>
      </c>
      <c r="H14" s="20" t="s">
        <v>13</v>
      </c>
      <c r="I14" s="20" t="s">
        <v>13</v>
      </c>
      <c r="J14" s="20" t="s">
        <v>13</v>
      </c>
      <c r="K14" s="21" t="s">
        <v>12</v>
      </c>
      <c r="L14" s="21" t="s">
        <v>12</v>
      </c>
      <c r="M14" s="21" t="s">
        <v>12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1"/>
      <c r="AA14" s="11"/>
      <c r="AB14" s="11"/>
    </row>
    <row r="15" spans="1:28" s="2" customFormat="1" ht="16" customHeight="1" x14ac:dyDescent="0.35">
      <c r="A15" s="27" t="s">
        <v>1</v>
      </c>
      <c r="B15" s="22">
        <v>5</v>
      </c>
      <c r="C15" s="22">
        <v>5</v>
      </c>
      <c r="D15" s="22">
        <v>5</v>
      </c>
      <c r="E15" s="22">
        <v>5</v>
      </c>
      <c r="F15" s="22">
        <v>5</v>
      </c>
      <c r="G15" s="22">
        <v>5</v>
      </c>
      <c r="H15" s="22">
        <v>5</v>
      </c>
      <c r="I15" s="22">
        <v>5</v>
      </c>
      <c r="J15" s="22">
        <v>5</v>
      </c>
      <c r="K15" s="22">
        <v>5</v>
      </c>
      <c r="L15" s="22">
        <v>5</v>
      </c>
      <c r="M15" s="22">
        <v>5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1"/>
      <c r="AA15" s="11"/>
      <c r="AB15" s="11"/>
    </row>
    <row r="16" spans="1:28" x14ac:dyDescent="0.35">
      <c r="A16" s="27" t="s">
        <v>8</v>
      </c>
      <c r="B16" s="22">
        <v>18</v>
      </c>
      <c r="C16" s="22">
        <v>18</v>
      </c>
      <c r="D16" s="22">
        <v>30</v>
      </c>
      <c r="E16" s="22">
        <v>46</v>
      </c>
      <c r="F16" s="22">
        <v>51</v>
      </c>
      <c r="G16" s="22">
        <v>42</v>
      </c>
      <c r="H16" s="22">
        <v>37</v>
      </c>
      <c r="I16" s="22">
        <v>40</v>
      </c>
      <c r="J16" s="22">
        <v>38</v>
      </c>
      <c r="K16" s="22">
        <v>37</v>
      </c>
      <c r="L16" s="22">
        <v>42</v>
      </c>
      <c r="M16" s="22">
        <v>35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8"/>
      <c r="AA16" s="8"/>
      <c r="AB16" s="8"/>
    </row>
    <row r="17" spans="1:28" x14ac:dyDescent="0.35">
      <c r="A17" s="28" t="s">
        <v>2</v>
      </c>
      <c r="B17" s="23">
        <f>B16*POWER(10,B15)*1000</f>
        <v>1800000000</v>
      </c>
      <c r="C17" s="23">
        <f t="shared" ref="C17:M17" si="4">C16*POWER(10,C15)*1000</f>
        <v>1800000000</v>
      </c>
      <c r="D17" s="23">
        <f t="shared" si="4"/>
        <v>3000000000</v>
      </c>
      <c r="E17" s="23">
        <f t="shared" si="4"/>
        <v>4600000000</v>
      </c>
      <c r="F17" s="23">
        <f t="shared" si="4"/>
        <v>5100000000</v>
      </c>
      <c r="G17" s="23">
        <f t="shared" si="4"/>
        <v>4200000000</v>
      </c>
      <c r="H17" s="23">
        <f t="shared" si="4"/>
        <v>3700000000</v>
      </c>
      <c r="I17" s="23">
        <f t="shared" si="4"/>
        <v>4000000000</v>
      </c>
      <c r="J17" s="23">
        <f t="shared" si="4"/>
        <v>3800000000</v>
      </c>
      <c r="K17" s="23">
        <f t="shared" si="4"/>
        <v>3700000000</v>
      </c>
      <c r="L17" s="23">
        <f t="shared" si="4"/>
        <v>4200000000</v>
      </c>
      <c r="M17" s="23">
        <f t="shared" si="4"/>
        <v>3500000000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  <c r="AA17" s="8"/>
      <c r="AB17" s="8"/>
    </row>
    <row r="18" spans="1:28" x14ac:dyDescent="0.35">
      <c r="A18" s="5" t="s">
        <v>9</v>
      </c>
      <c r="B18" s="14">
        <f>LOG(B17)</f>
        <v>9.2552725051033065</v>
      </c>
      <c r="C18" s="14">
        <f t="shared" ref="C18:M18" si="5">LOG(C17)</f>
        <v>9.2552725051033065</v>
      </c>
      <c r="D18" s="14">
        <f t="shared" si="5"/>
        <v>9.4771212547196626</v>
      </c>
      <c r="E18" s="14">
        <f t="shared" si="5"/>
        <v>9.6627578316815743</v>
      </c>
      <c r="F18" s="14">
        <f t="shared" si="5"/>
        <v>9.7075701760979367</v>
      </c>
      <c r="G18" s="14">
        <f t="shared" si="5"/>
        <v>9.6232492903979008</v>
      </c>
      <c r="H18" s="14">
        <f t="shared" si="5"/>
        <v>9.568201724066995</v>
      </c>
      <c r="I18" s="14">
        <f t="shared" si="5"/>
        <v>9.6020599913279625</v>
      </c>
      <c r="J18" s="14">
        <f t="shared" si="5"/>
        <v>9.5797835966168101</v>
      </c>
      <c r="K18" s="14">
        <f t="shared" si="5"/>
        <v>9.568201724066995</v>
      </c>
      <c r="L18" s="14">
        <f t="shared" si="5"/>
        <v>9.6232492903979008</v>
      </c>
      <c r="M18" s="14">
        <f t="shared" si="5"/>
        <v>9.5440680443502757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8"/>
      <c r="AA18" s="8"/>
      <c r="AB18" s="8"/>
    </row>
    <row r="19" spans="1:28" ht="15.45" x14ac:dyDescent="0.4">
      <c r="A19" s="17"/>
      <c r="B19" s="12"/>
      <c r="C19" s="12"/>
      <c r="D19" s="12"/>
      <c r="E19" s="12"/>
      <c r="F19" s="12"/>
      <c r="G19" s="12"/>
      <c r="H19" s="12"/>
      <c r="I19" s="12"/>
      <c r="J19" s="12"/>
      <c r="K19" s="6"/>
      <c r="L19" s="6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</row>
    <row r="20" spans="1:28" x14ac:dyDescent="0.35">
      <c r="A20" s="29"/>
      <c r="B20" s="4"/>
      <c r="C20" s="4"/>
      <c r="D20" s="4"/>
      <c r="K20" s="7"/>
      <c r="L20" s="7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  <c r="AA20" s="8"/>
      <c r="AB20" s="8"/>
    </row>
    <row r="21" spans="1:28" x14ac:dyDescent="0.35">
      <c r="A21" s="5"/>
      <c r="B21" s="6"/>
      <c r="C21" s="6"/>
      <c r="D21" s="6"/>
      <c r="K21" s="7"/>
      <c r="L21" s="7"/>
      <c r="M21" s="7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8"/>
      <c r="AA21" s="8"/>
      <c r="AB21" s="8"/>
    </row>
    <row r="22" spans="1:28" x14ac:dyDescent="0.35">
      <c r="A22" s="5"/>
      <c r="B22" s="6"/>
      <c r="C22" s="6"/>
      <c r="D22" s="6"/>
      <c r="E22" s="8"/>
      <c r="F22" s="8"/>
      <c r="G22" s="8"/>
      <c r="H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</row>
    <row r="23" spans="1:28" s="3" customFormat="1" x14ac:dyDescent="0.35">
      <c r="A23" s="30"/>
      <c r="B23" s="7"/>
      <c r="C23" s="7"/>
      <c r="D23" s="7"/>
      <c r="E23" s="4"/>
      <c r="F23" s="4"/>
      <c r="G23" s="4"/>
      <c r="H23" s="9"/>
      <c r="I23" s="1"/>
      <c r="J23" s="1"/>
      <c r="K23" s="15"/>
      <c r="L23" s="15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24"/>
      <c r="AA23" s="24"/>
      <c r="AB23" s="24"/>
    </row>
    <row r="24" spans="1:28" s="3" customFormat="1" ht="15" customHeight="1" x14ac:dyDescent="0.35">
      <c r="A24" s="5"/>
      <c r="B24" s="14"/>
      <c r="C24" s="14"/>
      <c r="D24" s="14"/>
      <c r="E24" s="4"/>
      <c r="F24" s="4"/>
      <c r="G24" s="4"/>
      <c r="H24" s="9"/>
      <c r="I24" s="1"/>
      <c r="J24" s="1"/>
      <c r="K24" s="12"/>
      <c r="L24" s="12"/>
      <c r="M24" s="12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24"/>
      <c r="AA24" s="24"/>
      <c r="AB24" s="24"/>
    </row>
    <row r="25" spans="1:28" ht="16" customHeight="1" x14ac:dyDescent="0.35">
      <c r="C25" s="4"/>
      <c r="D25" s="4"/>
      <c r="E25" s="4"/>
      <c r="F25" s="4"/>
      <c r="G25" s="4"/>
      <c r="H25" s="9"/>
      <c r="K25" s="12"/>
      <c r="L25" s="12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8"/>
      <c r="AA25" s="8"/>
      <c r="AB25" s="8"/>
    </row>
    <row r="26" spans="1:28" x14ac:dyDescent="0.35">
      <c r="C26" s="4"/>
      <c r="D26" s="4"/>
      <c r="E26" s="4"/>
      <c r="F26" s="4"/>
      <c r="G26" s="4"/>
      <c r="H26" s="8"/>
      <c r="K26" s="12"/>
      <c r="L26" s="12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8"/>
      <c r="AA26" s="8"/>
      <c r="AB26" s="8"/>
    </row>
    <row r="27" spans="1:28" x14ac:dyDescent="0.35">
      <c r="C27" s="8"/>
      <c r="D27" s="8"/>
      <c r="E27" s="8"/>
      <c r="F27" s="8"/>
      <c r="G27" s="8"/>
      <c r="K27" s="12"/>
      <c r="L27" s="12"/>
      <c r="M27" s="1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5">
      <c r="C28" s="4"/>
      <c r="D28" s="4"/>
      <c r="E28" s="4"/>
      <c r="F28" s="4"/>
      <c r="G28" s="4"/>
      <c r="H28" s="10"/>
      <c r="K28" s="12"/>
      <c r="L28" s="12"/>
      <c r="M28" s="1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5">
      <c r="C29" s="4"/>
      <c r="D29" s="4"/>
      <c r="E29" s="4"/>
      <c r="F29" s="4"/>
      <c r="G29" s="4"/>
      <c r="H29" s="10"/>
      <c r="K29" s="18"/>
      <c r="L29" s="18"/>
      <c r="M29" s="1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5">
      <c r="C30" s="4"/>
      <c r="D30" s="4"/>
      <c r="E30" s="4"/>
      <c r="F30" s="4"/>
      <c r="G30" s="4"/>
      <c r="H30" s="10"/>
      <c r="K30" s="11"/>
      <c r="L30" s="11"/>
      <c r="M30" s="1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5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5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2" customForma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s="2" customFormat="1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35"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x14ac:dyDescent="0.35"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x14ac:dyDescent="0.35"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x14ac:dyDescent="0.35"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35"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x14ac:dyDescent="0.35"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35"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1"/>
      <c r="AA41" s="11"/>
      <c r="AB41" s="11"/>
    </row>
    <row r="42" spans="1:28" x14ac:dyDescent="0.35"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2"/>
      <c r="AA42" s="2"/>
      <c r="AB42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3A47-E39B-4494-84A8-A046538ABB28}">
  <dimension ref="A1:AB42"/>
  <sheetViews>
    <sheetView topLeftCell="H1" zoomScale="74" zoomScaleNormal="74" workbookViewId="0">
      <selection activeCell="B18" sqref="B18:M18"/>
    </sheetView>
  </sheetViews>
  <sheetFormatPr defaultColWidth="9" defaultRowHeight="14.15" x14ac:dyDescent="0.35"/>
  <cols>
    <col min="1" max="13" width="20.58203125" style="1" customWidth="1"/>
    <col min="14" max="15" width="17.5" style="1" customWidth="1"/>
    <col min="16" max="16" width="18.6640625" style="1" customWidth="1"/>
    <col min="17" max="17" width="17.25" style="1" customWidth="1"/>
    <col min="18" max="18" width="18" style="1" customWidth="1"/>
    <col min="19" max="19" width="17.75" style="1" customWidth="1"/>
    <col min="20" max="20" width="17.6640625" style="1" customWidth="1"/>
    <col min="21" max="21" width="17.58203125" style="1" customWidth="1"/>
    <col min="22" max="22" width="18.9140625" style="1" customWidth="1"/>
    <col min="23" max="23" width="18.4140625" style="1" customWidth="1"/>
    <col min="24" max="24" width="18.25" style="1" customWidth="1"/>
    <col min="25" max="25" width="18.9140625" style="1" customWidth="1"/>
    <col min="26" max="16384" width="9" style="1"/>
  </cols>
  <sheetData>
    <row r="1" spans="1:28" x14ac:dyDescent="0.35"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35">
      <c r="A2" s="25" t="s">
        <v>7</v>
      </c>
      <c r="B2" s="26" t="s">
        <v>3</v>
      </c>
      <c r="C2" s="26" t="s">
        <v>3</v>
      </c>
      <c r="D2" s="26" t="s">
        <v>3</v>
      </c>
      <c r="E2" s="19" t="s">
        <v>4</v>
      </c>
      <c r="F2" s="19" t="s">
        <v>4</v>
      </c>
      <c r="G2" s="19" t="s">
        <v>4</v>
      </c>
      <c r="H2" s="20" t="s">
        <v>5</v>
      </c>
      <c r="I2" s="20" t="s">
        <v>5</v>
      </c>
      <c r="J2" s="20" t="s">
        <v>5</v>
      </c>
      <c r="K2" s="21" t="s">
        <v>10</v>
      </c>
      <c r="L2" s="21" t="s">
        <v>10</v>
      </c>
      <c r="M2" s="21" t="s">
        <v>10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5">
      <c r="A3" s="27" t="s">
        <v>1</v>
      </c>
      <c r="B3" s="22">
        <v>5</v>
      </c>
      <c r="C3" s="22">
        <v>5</v>
      </c>
      <c r="D3" s="22">
        <v>5</v>
      </c>
      <c r="E3" s="22">
        <v>3</v>
      </c>
      <c r="F3" s="22">
        <v>3</v>
      </c>
      <c r="G3" s="22">
        <v>3</v>
      </c>
      <c r="H3" s="22">
        <v>4</v>
      </c>
      <c r="I3" s="22">
        <v>4</v>
      </c>
      <c r="J3" s="22">
        <v>4</v>
      </c>
      <c r="K3" s="22">
        <v>5</v>
      </c>
      <c r="L3" s="22">
        <v>5</v>
      </c>
      <c r="M3" s="22">
        <v>5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5">
      <c r="A4" s="27" t="s">
        <v>8</v>
      </c>
      <c r="B4" s="22">
        <v>38</v>
      </c>
      <c r="C4" s="22">
        <v>30</v>
      </c>
      <c r="D4" s="22">
        <v>15</v>
      </c>
      <c r="E4" s="22">
        <v>139</v>
      </c>
      <c r="F4" s="22">
        <v>88</v>
      </c>
      <c r="G4" s="22">
        <v>43</v>
      </c>
      <c r="H4" s="22">
        <v>108</v>
      </c>
      <c r="I4" s="22">
        <v>106</v>
      </c>
      <c r="J4" s="22">
        <v>92</v>
      </c>
      <c r="K4" s="22">
        <v>40</v>
      </c>
      <c r="L4" s="22">
        <v>57</v>
      </c>
      <c r="M4" s="22">
        <v>49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21.9" customHeight="1" x14ac:dyDescent="0.35">
      <c r="A5" s="28" t="s">
        <v>2</v>
      </c>
      <c r="B5" s="23">
        <f>B4*40*POWER(10,B3)*1000</f>
        <v>152000000000</v>
      </c>
      <c r="C5" s="23">
        <f t="shared" ref="C5:M5" si="0">C4*40*POWER(10,C3)*1000</f>
        <v>120000000000</v>
      </c>
      <c r="D5" s="23">
        <f t="shared" si="0"/>
        <v>60000000000</v>
      </c>
      <c r="E5" s="23">
        <f t="shared" si="0"/>
        <v>5560000000</v>
      </c>
      <c r="F5" s="23">
        <f t="shared" si="0"/>
        <v>3520000000</v>
      </c>
      <c r="G5" s="23">
        <f t="shared" si="0"/>
        <v>1720000000</v>
      </c>
      <c r="H5" s="23">
        <f t="shared" si="0"/>
        <v>43200000000</v>
      </c>
      <c r="I5" s="23">
        <f t="shared" si="0"/>
        <v>42400000000</v>
      </c>
      <c r="J5" s="23">
        <f t="shared" si="0"/>
        <v>36800000000</v>
      </c>
      <c r="K5" s="23">
        <f t="shared" si="0"/>
        <v>160000000000</v>
      </c>
      <c r="L5" s="23">
        <f t="shared" si="0"/>
        <v>228000000000</v>
      </c>
      <c r="M5" s="23">
        <f t="shared" si="0"/>
        <v>196000000000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8"/>
      <c r="AA5" s="8"/>
      <c r="AB5" s="8"/>
    </row>
    <row r="6" spans="1:28" x14ac:dyDescent="0.35">
      <c r="A6" s="5" t="s">
        <v>9</v>
      </c>
      <c r="B6" s="14">
        <f t="shared" ref="B6:M6" si="1">LOG(B5)</f>
        <v>11.181843587944773</v>
      </c>
      <c r="C6" s="14">
        <f t="shared" si="1"/>
        <v>11.079181246047625</v>
      </c>
      <c r="D6" s="14">
        <f t="shared" si="1"/>
        <v>10.778151250383644</v>
      </c>
      <c r="E6" s="14">
        <f t="shared" si="1"/>
        <v>9.7450747915820575</v>
      </c>
      <c r="F6" s="14">
        <f t="shared" si="1"/>
        <v>9.5465426634781316</v>
      </c>
      <c r="G6" s="14">
        <f t="shared" si="1"/>
        <v>9.2355284469075496</v>
      </c>
      <c r="H6" s="14">
        <f t="shared" si="1"/>
        <v>10.635483746814913</v>
      </c>
      <c r="I6" s="14">
        <f t="shared" si="1"/>
        <v>10.627365856592732</v>
      </c>
      <c r="J6" s="14">
        <f t="shared" si="1"/>
        <v>10.565847818673518</v>
      </c>
      <c r="K6" s="14">
        <f t="shared" si="1"/>
        <v>11.204119982655925</v>
      </c>
      <c r="L6" s="14">
        <f t="shared" si="1"/>
        <v>11.357934847000454</v>
      </c>
      <c r="M6" s="14">
        <f t="shared" si="1"/>
        <v>11.292256071356476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8"/>
      <c r="AA6" s="8"/>
      <c r="AB6" s="8"/>
    </row>
    <row r="7" spans="1:28" x14ac:dyDescent="0.35">
      <c r="E7" s="8"/>
      <c r="F7" s="8"/>
      <c r="G7" s="8"/>
      <c r="H7" s="8"/>
      <c r="I7" s="8"/>
      <c r="J7" s="8"/>
      <c r="K7" s="8"/>
      <c r="L7" s="8"/>
      <c r="M7" s="8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8"/>
      <c r="AA7" s="8"/>
      <c r="AB7" s="8"/>
    </row>
    <row r="8" spans="1:28" x14ac:dyDescent="0.35">
      <c r="A8" s="25" t="s">
        <v>18</v>
      </c>
      <c r="B8" s="26" t="s">
        <v>6</v>
      </c>
      <c r="C8" s="26" t="s">
        <v>6</v>
      </c>
      <c r="D8" s="26" t="s">
        <v>6</v>
      </c>
      <c r="E8" s="19" t="s">
        <v>11</v>
      </c>
      <c r="F8" s="19" t="s">
        <v>11</v>
      </c>
      <c r="G8" s="19" t="s">
        <v>11</v>
      </c>
      <c r="H8" s="20" t="s">
        <v>17</v>
      </c>
      <c r="I8" s="20" t="s">
        <v>17</v>
      </c>
      <c r="J8" s="20" t="s">
        <v>17</v>
      </c>
      <c r="K8" s="21" t="s">
        <v>16</v>
      </c>
      <c r="L8" s="21" t="s">
        <v>16</v>
      </c>
      <c r="M8" s="21" t="s">
        <v>16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AA8" s="8"/>
      <c r="AB8" s="8"/>
    </row>
    <row r="9" spans="1:28" x14ac:dyDescent="0.35">
      <c r="A9" s="27" t="s">
        <v>1</v>
      </c>
      <c r="B9" s="22">
        <v>4</v>
      </c>
      <c r="C9" s="22">
        <v>4</v>
      </c>
      <c r="D9" s="22">
        <v>4</v>
      </c>
      <c r="E9" s="22">
        <v>5</v>
      </c>
      <c r="F9" s="22">
        <v>5</v>
      </c>
      <c r="G9" s="22">
        <v>5</v>
      </c>
      <c r="H9" s="22"/>
      <c r="I9" s="22"/>
      <c r="J9" s="22"/>
      <c r="K9" s="22">
        <v>5</v>
      </c>
      <c r="L9" s="22">
        <v>5</v>
      </c>
      <c r="M9" s="22">
        <v>5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8"/>
      <c r="AA9" s="8"/>
      <c r="AB9" s="8"/>
    </row>
    <row r="10" spans="1:28" x14ac:dyDescent="0.35">
      <c r="A10" s="27" t="s">
        <v>8</v>
      </c>
      <c r="B10" s="22">
        <v>117</v>
      </c>
      <c r="C10" s="22">
        <v>45</v>
      </c>
      <c r="D10" s="22">
        <v>58</v>
      </c>
      <c r="E10" s="22">
        <v>61</v>
      </c>
      <c r="F10" s="22">
        <v>71</v>
      </c>
      <c r="G10" s="22">
        <v>72</v>
      </c>
      <c r="H10" s="22"/>
      <c r="I10" s="22"/>
      <c r="J10" s="22"/>
      <c r="K10" s="22">
        <v>91</v>
      </c>
      <c r="L10" s="22">
        <v>87</v>
      </c>
      <c r="M10" s="22">
        <v>80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8"/>
      <c r="AA10" s="8"/>
      <c r="AB10" s="8"/>
    </row>
    <row r="11" spans="1:28" x14ac:dyDescent="0.35">
      <c r="A11" s="28" t="s">
        <v>2</v>
      </c>
      <c r="B11" s="23">
        <f>B10*40*POWER(10,B9)*1000</f>
        <v>46800000000</v>
      </c>
      <c r="C11" s="23">
        <f t="shared" ref="C11:M11" si="2">C10*40*POWER(10,C9)*1000</f>
        <v>18000000000</v>
      </c>
      <c r="D11" s="23">
        <f t="shared" si="2"/>
        <v>23200000000</v>
      </c>
      <c r="E11" s="23">
        <f t="shared" si="2"/>
        <v>244000000000</v>
      </c>
      <c r="F11" s="23">
        <f t="shared" si="2"/>
        <v>284000000000</v>
      </c>
      <c r="G11" s="23">
        <f t="shared" si="2"/>
        <v>288000000000</v>
      </c>
      <c r="H11" s="23">
        <f t="shared" si="2"/>
        <v>0</v>
      </c>
      <c r="I11" s="23">
        <f t="shared" si="2"/>
        <v>0</v>
      </c>
      <c r="J11" s="23">
        <f t="shared" si="2"/>
        <v>0</v>
      </c>
      <c r="K11" s="23">
        <f t="shared" si="2"/>
        <v>364000000000</v>
      </c>
      <c r="L11" s="23">
        <f t="shared" si="2"/>
        <v>348000000000</v>
      </c>
      <c r="M11" s="23">
        <f t="shared" si="2"/>
        <v>320000000000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AA11" s="8"/>
      <c r="AB11" s="8"/>
    </row>
    <row r="12" spans="1:28" x14ac:dyDescent="0.35">
      <c r="A12" s="5" t="s">
        <v>9</v>
      </c>
      <c r="B12" s="14">
        <f t="shared" ref="B12:M12" si="3">LOG(B11)</f>
        <v>10.670245853074125</v>
      </c>
      <c r="C12" s="14">
        <f t="shared" si="3"/>
        <v>10.255272505103306</v>
      </c>
      <c r="D12" s="14">
        <f t="shared" si="3"/>
        <v>10.365487984890899</v>
      </c>
      <c r="E12" s="14">
        <f t="shared" si="3"/>
        <v>11.38738982633873</v>
      </c>
      <c r="F12" s="14">
        <f t="shared" si="3"/>
        <v>11.453318340047037</v>
      </c>
      <c r="G12" s="14">
        <f t="shared" si="3"/>
        <v>11.459392487759231</v>
      </c>
      <c r="H12" s="14" t="e">
        <f t="shared" si="3"/>
        <v>#NUM!</v>
      </c>
      <c r="I12" s="14" t="e">
        <f t="shared" si="3"/>
        <v>#NUM!</v>
      </c>
      <c r="J12" s="14" t="e">
        <f t="shared" si="3"/>
        <v>#NUM!</v>
      </c>
      <c r="K12" s="14">
        <f t="shared" si="3"/>
        <v>11.561101383649056</v>
      </c>
      <c r="L12" s="14">
        <f t="shared" si="3"/>
        <v>11.541579243946581</v>
      </c>
      <c r="M12" s="14">
        <f t="shared" si="3"/>
        <v>11.505149978319906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8"/>
      <c r="AA12" s="8"/>
      <c r="AB12" s="8"/>
    </row>
    <row r="13" spans="1:28" ht="16" customHeight="1" x14ac:dyDescent="0.35">
      <c r="A13" s="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8"/>
      <c r="AA13" s="8"/>
      <c r="AB13" s="8"/>
    </row>
    <row r="14" spans="1:28" s="2" customFormat="1" ht="16" customHeight="1" x14ac:dyDescent="0.35">
      <c r="A14" s="25" t="s">
        <v>18</v>
      </c>
      <c r="B14" s="26" t="s">
        <v>15</v>
      </c>
      <c r="C14" s="26" t="s">
        <v>15</v>
      </c>
      <c r="D14" s="26" t="s">
        <v>15</v>
      </c>
      <c r="E14" s="19" t="s">
        <v>14</v>
      </c>
      <c r="F14" s="19" t="s">
        <v>14</v>
      </c>
      <c r="G14" s="19" t="s">
        <v>14</v>
      </c>
      <c r="H14" s="20" t="s">
        <v>13</v>
      </c>
      <c r="I14" s="20" t="s">
        <v>13</v>
      </c>
      <c r="J14" s="20" t="s">
        <v>13</v>
      </c>
      <c r="K14" s="21" t="s">
        <v>12</v>
      </c>
      <c r="L14" s="21" t="s">
        <v>12</v>
      </c>
      <c r="M14" s="21" t="s">
        <v>12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1"/>
      <c r="AA14" s="11"/>
      <c r="AB14" s="11"/>
    </row>
    <row r="15" spans="1:28" s="2" customFormat="1" ht="16" customHeight="1" x14ac:dyDescent="0.35">
      <c r="A15" s="27" t="s">
        <v>1</v>
      </c>
      <c r="B15" s="22">
        <v>5</v>
      </c>
      <c r="C15" s="22">
        <v>5</v>
      </c>
      <c r="D15" s="22">
        <v>5</v>
      </c>
      <c r="E15" s="22">
        <v>5</v>
      </c>
      <c r="F15" s="22">
        <v>5</v>
      </c>
      <c r="G15" s="22">
        <v>5</v>
      </c>
      <c r="H15" s="22">
        <v>5</v>
      </c>
      <c r="I15" s="22">
        <v>5</v>
      </c>
      <c r="J15" s="22">
        <v>5</v>
      </c>
      <c r="K15" s="22">
        <v>5</v>
      </c>
      <c r="L15" s="22">
        <v>5</v>
      </c>
      <c r="M15" s="22">
        <v>5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1"/>
      <c r="AA15" s="11"/>
      <c r="AB15" s="11"/>
    </row>
    <row r="16" spans="1:28" x14ac:dyDescent="0.35">
      <c r="A16" s="27" t="s">
        <v>8</v>
      </c>
      <c r="B16" s="22">
        <v>34</v>
      </c>
      <c r="C16" s="22">
        <v>30</v>
      </c>
      <c r="D16" s="22">
        <v>27</v>
      </c>
      <c r="E16" s="22">
        <v>22</v>
      </c>
      <c r="F16" s="22">
        <v>23</v>
      </c>
      <c r="G16" s="22">
        <v>18</v>
      </c>
      <c r="H16" s="22">
        <v>56</v>
      </c>
      <c r="I16" s="22">
        <v>49</v>
      </c>
      <c r="J16" s="22">
        <v>28</v>
      </c>
      <c r="K16" s="22">
        <v>78</v>
      </c>
      <c r="L16" s="22">
        <v>52</v>
      </c>
      <c r="M16" s="22">
        <v>50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8"/>
      <c r="AA16" s="8"/>
      <c r="AB16" s="8"/>
    </row>
    <row r="17" spans="1:28" x14ac:dyDescent="0.35">
      <c r="A17" s="28" t="s">
        <v>2</v>
      </c>
      <c r="B17" s="23">
        <f>B16*40*POWER(10,B15)*1000</f>
        <v>136000000000</v>
      </c>
      <c r="C17" s="23">
        <f t="shared" ref="C17:M17" si="4">C16*40*POWER(10,C15)*1000</f>
        <v>120000000000</v>
      </c>
      <c r="D17" s="23">
        <f t="shared" si="4"/>
        <v>108000000000</v>
      </c>
      <c r="E17" s="23">
        <f t="shared" si="4"/>
        <v>88000000000</v>
      </c>
      <c r="F17" s="23">
        <f t="shared" si="4"/>
        <v>92000000000</v>
      </c>
      <c r="G17" s="23">
        <f t="shared" si="4"/>
        <v>72000000000</v>
      </c>
      <c r="H17" s="23">
        <f t="shared" si="4"/>
        <v>224000000000</v>
      </c>
      <c r="I17" s="23">
        <f t="shared" si="4"/>
        <v>196000000000</v>
      </c>
      <c r="J17" s="23">
        <f t="shared" si="4"/>
        <v>112000000000</v>
      </c>
      <c r="K17" s="23">
        <f t="shared" si="4"/>
        <v>312000000000</v>
      </c>
      <c r="L17" s="23">
        <f t="shared" si="4"/>
        <v>208000000000</v>
      </c>
      <c r="M17" s="23">
        <f t="shared" si="4"/>
        <v>200000000000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  <c r="AA17" s="8"/>
      <c r="AB17" s="8"/>
    </row>
    <row r="18" spans="1:28" x14ac:dyDescent="0.35">
      <c r="A18" s="5" t="s">
        <v>9</v>
      </c>
      <c r="B18" s="14">
        <f>LOG(B17)</f>
        <v>11.133538908370218</v>
      </c>
      <c r="C18" s="14">
        <f t="shared" ref="C18:M18" si="5">LOG(C17)</f>
        <v>11.079181246047625</v>
      </c>
      <c r="D18" s="14">
        <f t="shared" si="5"/>
        <v>11.03342375548695</v>
      </c>
      <c r="E18" s="14">
        <f t="shared" si="5"/>
        <v>10.944482672150169</v>
      </c>
      <c r="F18" s="14">
        <f t="shared" si="5"/>
        <v>10.963787827345556</v>
      </c>
      <c r="G18" s="14">
        <f t="shared" si="5"/>
        <v>10.857332496431269</v>
      </c>
      <c r="H18" s="14">
        <f t="shared" si="5"/>
        <v>11.350248018334163</v>
      </c>
      <c r="I18" s="14">
        <f t="shared" si="5"/>
        <v>11.292256071356476</v>
      </c>
      <c r="J18" s="14">
        <f t="shared" si="5"/>
        <v>11.049218022670182</v>
      </c>
      <c r="K18" s="14">
        <f t="shared" si="5"/>
        <v>11.494154594018443</v>
      </c>
      <c r="L18" s="14">
        <f t="shared" si="5"/>
        <v>11.318063334962762</v>
      </c>
      <c r="M18" s="14">
        <f t="shared" si="5"/>
        <v>11.301029995663981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8"/>
      <c r="AA18" s="8"/>
      <c r="AB18" s="8"/>
    </row>
    <row r="19" spans="1:28" ht="15.45" x14ac:dyDescent="0.4">
      <c r="A19" s="17"/>
      <c r="B19" s="12"/>
      <c r="C19" s="12"/>
      <c r="D19" s="12"/>
      <c r="E19" s="12"/>
      <c r="F19" s="12"/>
      <c r="G19" s="12"/>
      <c r="H19" s="12"/>
      <c r="I19" s="12"/>
      <c r="J19" s="12"/>
      <c r="K19" s="6"/>
      <c r="L19" s="6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</row>
    <row r="20" spans="1:28" x14ac:dyDescent="0.35">
      <c r="A20" s="29"/>
      <c r="B20" s="4"/>
      <c r="C20" s="4"/>
      <c r="D20" s="4"/>
      <c r="K20" s="7"/>
      <c r="L20" s="7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  <c r="AA20" s="8"/>
      <c r="AB20" s="8"/>
    </row>
    <row r="21" spans="1:28" x14ac:dyDescent="0.35">
      <c r="A21" s="5"/>
      <c r="B21" s="6"/>
      <c r="C21" s="6"/>
      <c r="D21" s="6"/>
      <c r="K21" s="7"/>
      <c r="L21" s="7"/>
      <c r="M21" s="7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8"/>
      <c r="AA21" s="8"/>
      <c r="AB21" s="8"/>
    </row>
    <row r="22" spans="1:28" x14ac:dyDescent="0.35">
      <c r="A22" s="5"/>
      <c r="B22" s="6"/>
      <c r="C22" s="6"/>
      <c r="D22" s="6"/>
      <c r="E22" s="8"/>
      <c r="F22" s="8"/>
      <c r="G22" s="8"/>
      <c r="H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</row>
    <row r="23" spans="1:28" s="3" customFormat="1" x14ac:dyDescent="0.35">
      <c r="A23" s="30"/>
      <c r="B23" s="7"/>
      <c r="C23" s="7"/>
      <c r="D23" s="7"/>
      <c r="E23" s="4"/>
      <c r="F23" s="4"/>
      <c r="G23" s="4"/>
      <c r="H23" s="9"/>
      <c r="I23" s="1"/>
      <c r="J23" s="1"/>
      <c r="K23" s="15"/>
      <c r="L23" s="15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24"/>
      <c r="AA23" s="24"/>
      <c r="AB23" s="24"/>
    </row>
    <row r="24" spans="1:28" s="3" customFormat="1" ht="15" customHeight="1" x14ac:dyDescent="0.35">
      <c r="A24" s="5"/>
      <c r="B24" s="14"/>
      <c r="C24" s="14"/>
      <c r="D24" s="14"/>
      <c r="E24" s="4"/>
      <c r="F24" s="4"/>
      <c r="G24" s="4"/>
      <c r="H24" s="9"/>
      <c r="I24" s="1"/>
      <c r="J24" s="1"/>
      <c r="K24" s="12"/>
      <c r="L24" s="12"/>
      <c r="M24" s="12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24"/>
      <c r="AA24" s="24"/>
      <c r="AB24" s="24"/>
    </row>
    <row r="25" spans="1:28" ht="16" customHeight="1" x14ac:dyDescent="0.35">
      <c r="C25" s="4"/>
      <c r="D25" s="4"/>
      <c r="E25" s="4"/>
      <c r="F25" s="4"/>
      <c r="G25" s="4"/>
      <c r="H25" s="9"/>
      <c r="K25" s="12"/>
      <c r="L25" s="12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8"/>
      <c r="AA25" s="8"/>
      <c r="AB25" s="8"/>
    </row>
    <row r="26" spans="1:28" x14ac:dyDescent="0.35">
      <c r="C26" s="4"/>
      <c r="D26" s="4"/>
      <c r="E26" s="4"/>
      <c r="F26" s="4"/>
      <c r="G26" s="4"/>
      <c r="H26" s="8"/>
      <c r="K26" s="12"/>
      <c r="L26" s="12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8"/>
      <c r="AA26" s="8"/>
      <c r="AB26" s="8"/>
    </row>
    <row r="27" spans="1:28" x14ac:dyDescent="0.35">
      <c r="C27" s="8"/>
      <c r="D27" s="8"/>
      <c r="E27" s="8"/>
      <c r="F27" s="8"/>
      <c r="G27" s="8"/>
      <c r="K27" s="12"/>
      <c r="L27" s="12"/>
      <c r="M27" s="1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5">
      <c r="C28" s="4"/>
      <c r="D28" s="4"/>
      <c r="E28" s="4"/>
      <c r="F28" s="4"/>
      <c r="G28" s="4"/>
      <c r="H28" s="10"/>
      <c r="K28" s="12"/>
      <c r="L28" s="12"/>
      <c r="M28" s="1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5">
      <c r="C29" s="4"/>
      <c r="D29" s="4"/>
      <c r="E29" s="4"/>
      <c r="F29" s="4"/>
      <c r="G29" s="4"/>
      <c r="H29" s="10"/>
      <c r="K29" s="18"/>
      <c r="L29" s="18"/>
      <c r="M29" s="1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5">
      <c r="C30" s="4"/>
      <c r="D30" s="4"/>
      <c r="E30" s="4"/>
      <c r="F30" s="4"/>
      <c r="G30" s="4"/>
      <c r="H30" s="10"/>
      <c r="K30" s="11"/>
      <c r="L30" s="11"/>
      <c r="M30" s="1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5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5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2" customForma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s="2" customFormat="1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35"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x14ac:dyDescent="0.35"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x14ac:dyDescent="0.35"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x14ac:dyDescent="0.35"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35"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x14ac:dyDescent="0.35"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35"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1"/>
      <c r="AA41" s="11"/>
      <c r="AB41" s="11"/>
    </row>
    <row r="42" spans="1:28" x14ac:dyDescent="0.35"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2"/>
      <c r="AA42" s="2"/>
      <c r="AB4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8C6A-0813-415B-82C3-B2EE4CF1B023}">
  <dimension ref="A1:AB42"/>
  <sheetViews>
    <sheetView tabSelected="1" zoomScale="74" zoomScaleNormal="74" workbookViewId="0">
      <selection activeCell="J4" sqref="J4"/>
    </sheetView>
  </sheetViews>
  <sheetFormatPr defaultColWidth="9" defaultRowHeight="14.15" x14ac:dyDescent="0.35"/>
  <cols>
    <col min="1" max="13" width="20.58203125" style="1" customWidth="1"/>
    <col min="14" max="15" width="17.5" style="1" customWidth="1"/>
    <col min="16" max="16" width="18.6640625" style="1" customWidth="1"/>
    <col min="17" max="17" width="17.25" style="1" customWidth="1"/>
    <col min="18" max="18" width="18" style="1" customWidth="1"/>
    <col min="19" max="19" width="17.75" style="1" customWidth="1"/>
    <col min="20" max="20" width="17.6640625" style="1" customWidth="1"/>
    <col min="21" max="21" width="17.58203125" style="1" customWidth="1"/>
    <col min="22" max="22" width="18.9140625" style="1" customWidth="1"/>
    <col min="23" max="23" width="18.4140625" style="1" customWidth="1"/>
    <col min="24" max="24" width="18.25" style="1" customWidth="1"/>
    <col min="25" max="25" width="18.9140625" style="1" customWidth="1"/>
    <col min="26" max="16384" width="9" style="1"/>
  </cols>
  <sheetData>
    <row r="1" spans="1:28" x14ac:dyDescent="0.35"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35">
      <c r="A2" s="25" t="s">
        <v>7</v>
      </c>
      <c r="B2" s="26" t="s">
        <v>3</v>
      </c>
      <c r="C2" s="26" t="s">
        <v>3</v>
      </c>
      <c r="D2" s="26" t="s">
        <v>3</v>
      </c>
      <c r="E2" s="19" t="s">
        <v>4</v>
      </c>
      <c r="F2" s="19" t="s">
        <v>4</v>
      </c>
      <c r="G2" s="19" t="s">
        <v>4</v>
      </c>
      <c r="H2" s="20" t="s">
        <v>5</v>
      </c>
      <c r="I2" s="20" t="s">
        <v>5</v>
      </c>
      <c r="J2" s="20" t="s">
        <v>5</v>
      </c>
      <c r="K2" s="21" t="s">
        <v>10</v>
      </c>
      <c r="L2" s="21" t="s">
        <v>10</v>
      </c>
      <c r="M2" s="21" t="s">
        <v>10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5">
      <c r="A3" s="27" t="s">
        <v>1</v>
      </c>
      <c r="B3" s="22">
        <v>6</v>
      </c>
      <c r="C3" s="22">
        <v>6</v>
      </c>
      <c r="D3" s="22">
        <v>6</v>
      </c>
      <c r="E3" s="22">
        <v>5</v>
      </c>
      <c r="F3" s="22">
        <v>5</v>
      </c>
      <c r="G3" s="22">
        <v>5</v>
      </c>
      <c r="H3" s="22">
        <v>5</v>
      </c>
      <c r="I3" s="22">
        <v>5</v>
      </c>
      <c r="J3" s="22">
        <v>5</v>
      </c>
      <c r="K3" s="22">
        <v>6</v>
      </c>
      <c r="L3" s="22">
        <v>6</v>
      </c>
      <c r="M3" s="22">
        <v>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5">
      <c r="A4" s="27" t="s">
        <v>8</v>
      </c>
      <c r="B4" s="22">
        <v>89</v>
      </c>
      <c r="C4" s="22">
        <v>69</v>
      </c>
      <c r="D4" s="22">
        <v>82</v>
      </c>
      <c r="E4" s="22">
        <v>70</v>
      </c>
      <c r="F4" s="22">
        <v>102</v>
      </c>
      <c r="G4" s="22">
        <v>85</v>
      </c>
      <c r="H4" s="22">
        <v>113</v>
      </c>
      <c r="I4" s="22">
        <v>127</v>
      </c>
      <c r="J4" s="22">
        <v>119</v>
      </c>
      <c r="K4" s="22">
        <v>160</v>
      </c>
      <c r="L4" s="22">
        <v>120</v>
      </c>
      <c r="M4" s="22">
        <v>119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21.9" customHeight="1" x14ac:dyDescent="0.35">
      <c r="A5" s="28" t="s">
        <v>2</v>
      </c>
      <c r="B5" s="23">
        <f>B4*40*POWER(10,B3)*1000</f>
        <v>3560000000000</v>
      </c>
      <c r="C5" s="23">
        <f t="shared" ref="C5:M5" si="0">C4*40*POWER(10,C3)*1000</f>
        <v>2760000000000</v>
      </c>
      <c r="D5" s="23">
        <f t="shared" si="0"/>
        <v>3280000000000</v>
      </c>
      <c r="E5" s="23">
        <f t="shared" si="0"/>
        <v>280000000000</v>
      </c>
      <c r="F5" s="23">
        <f t="shared" si="0"/>
        <v>408000000000</v>
      </c>
      <c r="G5" s="23">
        <f t="shared" si="0"/>
        <v>340000000000</v>
      </c>
      <c r="H5" s="23">
        <f t="shared" si="0"/>
        <v>452000000000</v>
      </c>
      <c r="I5" s="23">
        <f t="shared" si="0"/>
        <v>508000000000</v>
      </c>
      <c r="J5" s="23">
        <f t="shared" si="0"/>
        <v>476000000000</v>
      </c>
      <c r="K5" s="23">
        <f t="shared" si="0"/>
        <v>6400000000000</v>
      </c>
      <c r="L5" s="23">
        <f t="shared" si="0"/>
        <v>4800000000000</v>
      </c>
      <c r="M5" s="23">
        <f t="shared" si="0"/>
        <v>4760000000000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8"/>
      <c r="AA5" s="8"/>
      <c r="AB5" s="8"/>
    </row>
    <row r="6" spans="1:28" x14ac:dyDescent="0.35">
      <c r="A6" s="5" t="s">
        <v>9</v>
      </c>
      <c r="B6" s="14">
        <f t="shared" ref="B6:M6" si="1">LOG(B5)</f>
        <v>12.551449997972876</v>
      </c>
      <c r="C6" s="14">
        <f t="shared" si="1"/>
        <v>12.440909082065218</v>
      </c>
      <c r="D6" s="14">
        <f t="shared" si="1"/>
        <v>12.515873843711679</v>
      </c>
      <c r="E6" s="14">
        <f t="shared" si="1"/>
        <v>11.447158031342219</v>
      </c>
      <c r="F6" s="14">
        <f t="shared" si="1"/>
        <v>11.61066016308988</v>
      </c>
      <c r="G6" s="14">
        <f t="shared" si="1"/>
        <v>11.531478917042255</v>
      </c>
      <c r="H6" s="14">
        <f t="shared" si="1"/>
        <v>11.655138434811382</v>
      </c>
      <c r="I6" s="14">
        <f t="shared" si="1"/>
        <v>11.70586371228392</v>
      </c>
      <c r="J6" s="14">
        <f t="shared" si="1"/>
        <v>11.677606952720494</v>
      </c>
      <c r="K6" s="14">
        <f t="shared" si="1"/>
        <v>12.806179973983888</v>
      </c>
      <c r="L6" s="14">
        <f t="shared" si="1"/>
        <v>12.681241237375588</v>
      </c>
      <c r="M6" s="14">
        <f t="shared" si="1"/>
        <v>12.677606952720494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8"/>
      <c r="AA6" s="8"/>
      <c r="AB6" s="8"/>
    </row>
    <row r="7" spans="1:28" x14ac:dyDescent="0.35">
      <c r="E7" s="8"/>
      <c r="F7" s="8"/>
      <c r="G7" s="8"/>
      <c r="H7" s="8"/>
      <c r="I7" s="8"/>
      <c r="J7" s="8"/>
      <c r="K7" s="8"/>
      <c r="L7" s="8"/>
      <c r="M7" s="8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8"/>
      <c r="AA7" s="8"/>
      <c r="AB7" s="8"/>
    </row>
    <row r="8" spans="1:28" x14ac:dyDescent="0.35">
      <c r="A8" s="25" t="s">
        <v>7</v>
      </c>
      <c r="B8" s="26" t="s">
        <v>6</v>
      </c>
      <c r="C8" s="26" t="s">
        <v>6</v>
      </c>
      <c r="D8" s="26" t="s">
        <v>6</v>
      </c>
      <c r="E8" s="19" t="s">
        <v>11</v>
      </c>
      <c r="F8" s="19" t="s">
        <v>11</v>
      </c>
      <c r="G8" s="19" t="s">
        <v>11</v>
      </c>
      <c r="H8" s="20" t="s">
        <v>17</v>
      </c>
      <c r="I8" s="20" t="s">
        <v>17</v>
      </c>
      <c r="J8" s="20" t="s">
        <v>17</v>
      </c>
      <c r="K8" s="21" t="s">
        <v>16</v>
      </c>
      <c r="L8" s="21" t="s">
        <v>16</v>
      </c>
      <c r="M8" s="21" t="s">
        <v>16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AA8" s="8"/>
      <c r="AB8" s="8"/>
    </row>
    <row r="9" spans="1:28" x14ac:dyDescent="0.35">
      <c r="A9" s="27" t="s">
        <v>1</v>
      </c>
      <c r="B9" s="22">
        <v>6</v>
      </c>
      <c r="C9" s="22">
        <v>6</v>
      </c>
      <c r="D9" s="22">
        <v>6</v>
      </c>
      <c r="E9" s="22">
        <v>6</v>
      </c>
      <c r="F9" s="22">
        <v>6</v>
      </c>
      <c r="G9" s="22">
        <v>6</v>
      </c>
      <c r="H9" s="22">
        <v>4</v>
      </c>
      <c r="I9" s="22">
        <v>4</v>
      </c>
      <c r="J9" s="22">
        <v>4</v>
      </c>
      <c r="K9" s="22">
        <v>6</v>
      </c>
      <c r="L9" s="22">
        <v>6</v>
      </c>
      <c r="M9" s="22">
        <v>6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8"/>
      <c r="AA9" s="8"/>
      <c r="AB9" s="8"/>
    </row>
    <row r="10" spans="1:28" x14ac:dyDescent="0.35">
      <c r="A10" s="27" t="s">
        <v>8</v>
      </c>
      <c r="B10" s="22">
        <v>50</v>
      </c>
      <c r="C10" s="22">
        <v>57</v>
      </c>
      <c r="D10" s="22">
        <v>54</v>
      </c>
      <c r="E10" s="22">
        <v>62</v>
      </c>
      <c r="F10" s="22">
        <v>49</v>
      </c>
      <c r="G10" s="22">
        <v>56</v>
      </c>
      <c r="H10" s="22">
        <v>70</v>
      </c>
      <c r="I10" s="22">
        <v>63</v>
      </c>
      <c r="J10" s="22">
        <v>58</v>
      </c>
      <c r="K10" s="22">
        <v>49</v>
      </c>
      <c r="L10" s="22">
        <v>30</v>
      </c>
      <c r="M10" s="22">
        <v>37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8"/>
      <c r="AA10" s="8"/>
      <c r="AB10" s="8"/>
    </row>
    <row r="11" spans="1:28" x14ac:dyDescent="0.35">
      <c r="A11" s="28" t="s">
        <v>2</v>
      </c>
      <c r="B11" s="23">
        <f>B10*40*POWER(10,B9)*1000</f>
        <v>2000000000000</v>
      </c>
      <c r="C11" s="23">
        <f t="shared" ref="C11:M11" si="2">C10*40*POWER(10,C9)*1000</f>
        <v>2280000000000</v>
      </c>
      <c r="D11" s="23">
        <f t="shared" si="2"/>
        <v>2160000000000</v>
      </c>
      <c r="E11" s="23">
        <f t="shared" si="2"/>
        <v>2480000000000</v>
      </c>
      <c r="F11" s="23">
        <f t="shared" si="2"/>
        <v>1960000000000</v>
      </c>
      <c r="G11" s="23">
        <f t="shared" si="2"/>
        <v>2240000000000</v>
      </c>
      <c r="H11" s="23">
        <f t="shared" si="2"/>
        <v>28000000000</v>
      </c>
      <c r="I11" s="23">
        <f t="shared" si="2"/>
        <v>25200000000</v>
      </c>
      <c r="J11" s="23">
        <f t="shared" si="2"/>
        <v>23200000000</v>
      </c>
      <c r="K11" s="23">
        <f t="shared" si="2"/>
        <v>1960000000000</v>
      </c>
      <c r="L11" s="23">
        <f t="shared" si="2"/>
        <v>1200000000000</v>
      </c>
      <c r="M11" s="23">
        <f t="shared" si="2"/>
        <v>1480000000000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AA11" s="8"/>
      <c r="AB11" s="8"/>
    </row>
    <row r="12" spans="1:28" x14ac:dyDescent="0.35">
      <c r="A12" s="5" t="s">
        <v>9</v>
      </c>
      <c r="B12" s="14">
        <f t="shared" ref="B12:M12" si="3">LOG(B11)</f>
        <v>12.301029995663981</v>
      </c>
      <c r="C12" s="14">
        <f t="shared" si="3"/>
        <v>12.357934847000454</v>
      </c>
      <c r="D12" s="14">
        <f t="shared" si="3"/>
        <v>12.334453751150932</v>
      </c>
      <c r="E12" s="14">
        <f t="shared" si="3"/>
        <v>12.394451680826217</v>
      </c>
      <c r="F12" s="14">
        <f t="shared" si="3"/>
        <v>12.292256071356476</v>
      </c>
      <c r="G12" s="14">
        <f t="shared" si="3"/>
        <v>12.350248018334163</v>
      </c>
      <c r="H12" s="14">
        <f t="shared" si="3"/>
        <v>10.447158031342219</v>
      </c>
      <c r="I12" s="14">
        <f>LOG(I11)</f>
        <v>10.401400540781545</v>
      </c>
      <c r="J12" s="14">
        <f>LOG(J11)</f>
        <v>10.365487984890899</v>
      </c>
      <c r="K12" s="14">
        <f t="shared" si="3"/>
        <v>12.292256071356476</v>
      </c>
      <c r="L12" s="14">
        <f t="shared" si="3"/>
        <v>12.079181246047625</v>
      </c>
      <c r="M12" s="14">
        <f t="shared" si="3"/>
        <v>12.170261715394957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8"/>
      <c r="AA12" s="8"/>
      <c r="AB12" s="8"/>
    </row>
    <row r="13" spans="1:28" ht="16" customHeight="1" x14ac:dyDescent="0.35">
      <c r="A13" s="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8"/>
      <c r="AA13" s="8"/>
      <c r="AB13" s="8"/>
    </row>
    <row r="14" spans="1:28" s="2" customFormat="1" ht="16" customHeight="1" x14ac:dyDescent="0.35">
      <c r="A14" s="25" t="s">
        <v>7</v>
      </c>
      <c r="B14" s="26" t="s">
        <v>15</v>
      </c>
      <c r="C14" s="26" t="s">
        <v>15</v>
      </c>
      <c r="D14" s="26" t="s">
        <v>15</v>
      </c>
      <c r="E14" s="19" t="s">
        <v>14</v>
      </c>
      <c r="F14" s="19" t="s">
        <v>14</v>
      </c>
      <c r="G14" s="19" t="s">
        <v>14</v>
      </c>
      <c r="H14" s="20" t="s">
        <v>13</v>
      </c>
      <c r="I14" s="20" t="s">
        <v>13</v>
      </c>
      <c r="J14" s="20" t="s">
        <v>13</v>
      </c>
      <c r="K14" s="21" t="s">
        <v>12</v>
      </c>
      <c r="L14" s="21" t="s">
        <v>12</v>
      </c>
      <c r="M14" s="21" t="s">
        <v>12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1"/>
      <c r="AA14" s="11"/>
      <c r="AB14" s="11"/>
    </row>
    <row r="15" spans="1:28" s="2" customFormat="1" ht="16" customHeight="1" x14ac:dyDescent="0.35">
      <c r="A15" s="27" t="s">
        <v>1</v>
      </c>
      <c r="B15" s="22">
        <v>5</v>
      </c>
      <c r="C15" s="22">
        <v>5</v>
      </c>
      <c r="D15" s="22">
        <v>5</v>
      </c>
      <c r="E15" s="22">
        <v>6</v>
      </c>
      <c r="F15" s="22">
        <v>6</v>
      </c>
      <c r="G15" s="22">
        <v>6</v>
      </c>
      <c r="H15" s="22">
        <v>6</v>
      </c>
      <c r="I15" s="22">
        <v>6</v>
      </c>
      <c r="J15" s="22">
        <v>6</v>
      </c>
      <c r="K15" s="22">
        <v>6</v>
      </c>
      <c r="L15" s="22">
        <v>6</v>
      </c>
      <c r="M15" s="22">
        <v>6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1"/>
      <c r="AA15" s="11"/>
      <c r="AB15" s="11"/>
    </row>
    <row r="16" spans="1:28" x14ac:dyDescent="0.35">
      <c r="A16" s="27" t="s">
        <v>8</v>
      </c>
      <c r="B16" s="22">
        <v>111</v>
      </c>
      <c r="C16" s="22">
        <v>98</v>
      </c>
      <c r="D16" s="22">
        <v>87</v>
      </c>
      <c r="E16" s="22">
        <v>24</v>
      </c>
      <c r="F16" s="22">
        <v>33</v>
      </c>
      <c r="G16" s="22">
        <v>23</v>
      </c>
      <c r="H16" s="22">
        <v>39</v>
      </c>
      <c r="I16" s="22">
        <v>36</v>
      </c>
      <c r="J16" s="22">
        <v>23</v>
      </c>
      <c r="K16" s="22">
        <v>23</v>
      </c>
      <c r="L16" s="22">
        <v>19</v>
      </c>
      <c r="M16" s="22">
        <v>29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8"/>
      <c r="AA16" s="8"/>
      <c r="AB16" s="8"/>
    </row>
    <row r="17" spans="1:28" x14ac:dyDescent="0.35">
      <c r="A17" s="28" t="s">
        <v>2</v>
      </c>
      <c r="B17" s="23">
        <f>B16*40*POWER(10,B15)*1000</f>
        <v>444000000000</v>
      </c>
      <c r="C17" s="23">
        <f t="shared" ref="C17:M17" si="4">C16*40*POWER(10,C15)*1000</f>
        <v>392000000000</v>
      </c>
      <c r="D17" s="23">
        <f t="shared" si="4"/>
        <v>348000000000</v>
      </c>
      <c r="E17" s="23">
        <f t="shared" si="4"/>
        <v>960000000000</v>
      </c>
      <c r="F17" s="23">
        <f t="shared" si="4"/>
        <v>1320000000000</v>
      </c>
      <c r="G17" s="23">
        <f t="shared" si="4"/>
        <v>920000000000</v>
      </c>
      <c r="H17" s="23">
        <f t="shared" si="4"/>
        <v>1560000000000</v>
      </c>
      <c r="I17" s="23">
        <f t="shared" si="4"/>
        <v>1440000000000</v>
      </c>
      <c r="J17" s="23">
        <f t="shared" si="4"/>
        <v>920000000000</v>
      </c>
      <c r="K17" s="23">
        <f t="shared" si="4"/>
        <v>920000000000</v>
      </c>
      <c r="L17" s="23">
        <f t="shared" si="4"/>
        <v>760000000000</v>
      </c>
      <c r="M17" s="23">
        <f t="shared" si="4"/>
        <v>1160000000000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  <c r="AA17" s="8"/>
      <c r="AB17" s="8"/>
    </row>
    <row r="18" spans="1:28" x14ac:dyDescent="0.35">
      <c r="A18" s="5" t="s">
        <v>9</v>
      </c>
      <c r="B18" s="14">
        <f>LOG(B17)</f>
        <v>11.64738297011462</v>
      </c>
      <c r="C18" s="14">
        <f t="shared" ref="C18:M18" si="5">LOG(C17)</f>
        <v>11.593286067020458</v>
      </c>
      <c r="D18" s="14">
        <f t="shared" si="5"/>
        <v>11.541579243946581</v>
      </c>
      <c r="E18" s="14">
        <f t="shared" si="5"/>
        <v>11.982271233039569</v>
      </c>
      <c r="F18" s="14">
        <f t="shared" si="5"/>
        <v>12.12057393120585</v>
      </c>
      <c r="G18" s="14">
        <f t="shared" si="5"/>
        <v>11.963787827345556</v>
      </c>
      <c r="H18" s="14">
        <f t="shared" si="5"/>
        <v>12.193124598354462</v>
      </c>
      <c r="I18" s="14">
        <f t="shared" si="5"/>
        <v>12.15836249209525</v>
      </c>
      <c r="J18" s="14">
        <f t="shared" si="5"/>
        <v>11.963787827345556</v>
      </c>
      <c r="K18" s="14">
        <f t="shared" si="5"/>
        <v>11.963787827345556</v>
      </c>
      <c r="L18" s="14">
        <f t="shared" si="5"/>
        <v>11.880813592280791</v>
      </c>
      <c r="M18" s="14">
        <f t="shared" si="5"/>
        <v>12.064457989226918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8"/>
      <c r="AA18" s="8"/>
      <c r="AB18" s="8"/>
    </row>
    <row r="19" spans="1:28" ht="15.45" x14ac:dyDescent="0.4">
      <c r="A19" s="17"/>
      <c r="B19" s="12"/>
      <c r="C19" s="12"/>
      <c r="D19" s="12"/>
      <c r="E19" s="12"/>
      <c r="F19" s="12"/>
      <c r="G19" s="12"/>
      <c r="H19" s="12"/>
      <c r="I19" s="12"/>
      <c r="J19" s="12"/>
      <c r="K19" s="6"/>
      <c r="L19" s="6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</row>
    <row r="20" spans="1:28" x14ac:dyDescent="0.35">
      <c r="A20" s="29"/>
      <c r="B20" s="4"/>
      <c r="C20" s="4"/>
      <c r="D20" s="4"/>
      <c r="K20" s="7"/>
      <c r="L20" s="7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  <c r="AA20" s="8"/>
      <c r="AB20" s="8"/>
    </row>
    <row r="21" spans="1:28" x14ac:dyDescent="0.35">
      <c r="A21" s="5"/>
      <c r="B21" s="6"/>
      <c r="C21" s="6"/>
      <c r="D21" s="6"/>
      <c r="K21" s="7"/>
      <c r="L21" s="7"/>
      <c r="M21" s="7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8"/>
      <c r="AA21" s="8"/>
      <c r="AB21" s="8"/>
    </row>
    <row r="22" spans="1:28" x14ac:dyDescent="0.35">
      <c r="A22" s="5"/>
      <c r="B22" s="6"/>
      <c r="C22" s="6"/>
      <c r="D22" s="6"/>
      <c r="E22" s="8"/>
      <c r="F22" s="8"/>
      <c r="G22" s="8"/>
      <c r="H22" s="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</row>
    <row r="23" spans="1:28" s="3" customFormat="1" x14ac:dyDescent="0.35">
      <c r="A23" s="30"/>
      <c r="B23" s="7"/>
      <c r="C23" s="7"/>
      <c r="D23" s="7"/>
      <c r="E23" s="4"/>
      <c r="F23" s="4"/>
      <c r="G23" s="4"/>
      <c r="H23" s="9"/>
      <c r="I23" s="1"/>
      <c r="J23" s="1"/>
      <c r="K23" s="15"/>
      <c r="L23" s="15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24"/>
      <c r="AA23" s="24"/>
      <c r="AB23" s="24"/>
    </row>
    <row r="24" spans="1:28" s="3" customFormat="1" ht="15" customHeight="1" x14ac:dyDescent="0.35">
      <c r="A24" s="5"/>
      <c r="B24" s="14"/>
      <c r="C24" s="14"/>
      <c r="D24" s="14"/>
      <c r="E24" s="4"/>
      <c r="F24" s="4"/>
      <c r="G24" s="4"/>
      <c r="H24" s="9"/>
      <c r="I24" s="1"/>
      <c r="J24" s="1"/>
      <c r="K24" s="12"/>
      <c r="L24" s="12"/>
      <c r="M24" s="12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24"/>
      <c r="AA24" s="24"/>
      <c r="AB24" s="24"/>
    </row>
    <row r="25" spans="1:28" ht="16" customHeight="1" x14ac:dyDescent="0.35">
      <c r="C25" s="4"/>
      <c r="D25" s="4"/>
      <c r="E25" s="4"/>
      <c r="F25" s="4"/>
      <c r="G25" s="4"/>
      <c r="H25" s="9"/>
      <c r="K25" s="12"/>
      <c r="L25" s="12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8"/>
      <c r="AA25" s="8"/>
      <c r="AB25" s="8"/>
    </row>
    <row r="26" spans="1:28" x14ac:dyDescent="0.35">
      <c r="C26" s="4"/>
      <c r="D26" s="4"/>
      <c r="E26" s="4"/>
      <c r="F26" s="4"/>
      <c r="G26" s="4"/>
      <c r="H26" s="8"/>
      <c r="K26" s="12"/>
      <c r="L26" s="12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8"/>
      <c r="AA26" s="8"/>
      <c r="AB26" s="8"/>
    </row>
    <row r="27" spans="1:28" x14ac:dyDescent="0.35">
      <c r="C27" s="8"/>
      <c r="D27" s="8"/>
      <c r="E27" s="8"/>
      <c r="F27" s="8"/>
      <c r="G27" s="8"/>
      <c r="K27" s="12"/>
      <c r="L27" s="12"/>
      <c r="M27" s="1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5">
      <c r="C28" s="4"/>
      <c r="D28" s="4"/>
      <c r="E28" s="4"/>
      <c r="F28" s="4"/>
      <c r="G28" s="4"/>
      <c r="H28" s="10"/>
      <c r="K28" s="12"/>
      <c r="L28" s="12"/>
      <c r="M28" s="1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5">
      <c r="C29" s="4"/>
      <c r="D29" s="4"/>
      <c r="E29" s="4"/>
      <c r="F29" s="4"/>
      <c r="G29" s="4"/>
      <c r="H29" s="10"/>
      <c r="K29" s="18"/>
      <c r="L29" s="18"/>
      <c r="M29" s="1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5">
      <c r="C30" s="4"/>
      <c r="D30" s="4"/>
      <c r="E30" s="4"/>
      <c r="F30" s="4"/>
      <c r="G30" s="4"/>
      <c r="H30" s="10"/>
      <c r="K30" s="11"/>
      <c r="L30" s="11"/>
      <c r="M30" s="1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5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5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2" customForma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s="2" customFormat="1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35"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x14ac:dyDescent="0.35"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x14ac:dyDescent="0.35"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x14ac:dyDescent="0.35"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35"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x14ac:dyDescent="0.35"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35"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1"/>
      <c r="AA41" s="11"/>
      <c r="AB41" s="11"/>
    </row>
    <row r="42" spans="1:28" x14ac:dyDescent="0.35"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2"/>
      <c r="AA42" s="2"/>
      <c r="AB4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 hr</vt:lpstr>
      <vt:lpstr>12 hr</vt:lpstr>
      <vt:lpstr>24 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王豐錡</cp:lastModifiedBy>
  <dcterms:created xsi:type="dcterms:W3CDTF">2022-06-29T05:46:17Z</dcterms:created>
  <dcterms:modified xsi:type="dcterms:W3CDTF">2026-05-21T03:26:40Z</dcterms:modified>
</cp:coreProperties>
</file>