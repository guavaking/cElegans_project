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u\11_kekelab\cElegent_project_AS\"/>
    </mc:Choice>
  </mc:AlternateContent>
  <xr:revisionPtr revIDLastSave="0" documentId="8_{2E9F5401-F76D-4A62-AAF7-292748F20FFA}" xr6:coauthVersionLast="47" xr6:coauthVersionMax="47" xr10:uidLastSave="{00000000-0000-0000-0000-000000000000}"/>
  <bookViews>
    <workbookView xWindow="0" yWindow="300" windowWidth="29040" windowHeight="15840" xr2:uid="{49EAF373-55EF-4062-A116-2834629EE943}"/>
  </bookViews>
  <sheets>
    <sheet name="0 hr" sheetId="1" r:id="rId1"/>
    <sheet name="24 hr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2" l="1"/>
  <c r="Y35" i="2" s="1"/>
  <c r="X32" i="2"/>
  <c r="X35" i="2" s="1"/>
  <c r="W32" i="2"/>
  <c r="W35" i="2" s="1"/>
  <c r="Y29" i="2"/>
  <c r="Y36" i="2" s="1"/>
  <c r="X29" i="2"/>
  <c r="X36" i="2" s="1"/>
  <c r="W29" i="2"/>
  <c r="W36" i="2" s="1"/>
  <c r="W24" i="2"/>
  <c r="W23" i="2"/>
  <c r="Y20" i="2"/>
  <c r="Y23" i="2" s="1"/>
  <c r="X20" i="2"/>
  <c r="X23" i="2" s="1"/>
  <c r="W20" i="2"/>
  <c r="Y17" i="2"/>
  <c r="Y24" i="2" s="1"/>
  <c r="X17" i="2"/>
  <c r="X24" i="2" s="1"/>
  <c r="W17" i="2"/>
  <c r="X11" i="2"/>
  <c r="Y8" i="2"/>
  <c r="Y11" i="2" s="1"/>
  <c r="X8" i="2"/>
  <c r="W8" i="2"/>
  <c r="W11" i="2" s="1"/>
  <c r="Y5" i="2"/>
  <c r="Y12" i="2" s="1"/>
  <c r="X5" i="2"/>
  <c r="X12" i="2" s="1"/>
  <c r="W5" i="2"/>
  <c r="W12" i="2" s="1"/>
  <c r="S32" i="2"/>
  <c r="S35" i="2" s="1"/>
  <c r="R32" i="2"/>
  <c r="R35" i="2" s="1"/>
  <c r="Q32" i="2"/>
  <c r="Q35" i="2" s="1"/>
  <c r="S29" i="2"/>
  <c r="S36" i="2" s="1"/>
  <c r="R29" i="2"/>
  <c r="R36" i="2" s="1"/>
  <c r="Q29" i="2"/>
  <c r="Q36" i="2" s="1"/>
  <c r="R24" i="2"/>
  <c r="S20" i="2"/>
  <c r="S23" i="2" s="1"/>
  <c r="R20" i="2"/>
  <c r="R23" i="2" s="1"/>
  <c r="Q20" i="2"/>
  <c r="Q23" i="2" s="1"/>
  <c r="S17" i="2"/>
  <c r="S24" i="2" s="1"/>
  <c r="R17" i="2"/>
  <c r="Q17" i="2"/>
  <c r="Q24" i="2" s="1"/>
  <c r="S8" i="2"/>
  <c r="S11" i="2" s="1"/>
  <c r="R8" i="2"/>
  <c r="R11" i="2" s="1"/>
  <c r="Q8" i="2"/>
  <c r="Q11" i="2" s="1"/>
  <c r="S5" i="2"/>
  <c r="S12" i="2" s="1"/>
  <c r="R5" i="2"/>
  <c r="R12" i="2" s="1"/>
  <c r="Q5" i="2"/>
  <c r="Q12" i="2" s="1"/>
  <c r="M32" i="2"/>
  <c r="M35" i="2" s="1"/>
  <c r="L32" i="2"/>
  <c r="L35" i="2" s="1"/>
  <c r="K32" i="2"/>
  <c r="K35" i="2" s="1"/>
  <c r="M29" i="2"/>
  <c r="M36" i="2" s="1"/>
  <c r="L29" i="2"/>
  <c r="L36" i="2" s="1"/>
  <c r="K29" i="2"/>
  <c r="K36" i="2" s="1"/>
  <c r="M24" i="2"/>
  <c r="L24" i="2"/>
  <c r="K24" i="2"/>
  <c r="K23" i="2"/>
  <c r="M20" i="2"/>
  <c r="M23" i="2" s="1"/>
  <c r="L20" i="2"/>
  <c r="L23" i="2" s="1"/>
  <c r="K20" i="2"/>
  <c r="M17" i="2"/>
  <c r="L17" i="2"/>
  <c r="K17" i="2"/>
  <c r="M8" i="2"/>
  <c r="M11" i="2" s="1"/>
  <c r="L8" i="2"/>
  <c r="L11" i="2" s="1"/>
  <c r="K8" i="2"/>
  <c r="K11" i="2" s="1"/>
  <c r="M5" i="2"/>
  <c r="M12" i="2" s="1"/>
  <c r="L5" i="2"/>
  <c r="L12" i="2" s="1"/>
  <c r="K5" i="2"/>
  <c r="K12" i="2" s="1"/>
  <c r="G32" i="2"/>
  <c r="G35" i="2" s="1"/>
  <c r="F32" i="2"/>
  <c r="F35" i="2" s="1"/>
  <c r="E32" i="2"/>
  <c r="E35" i="2" s="1"/>
  <c r="G29" i="2"/>
  <c r="G36" i="2" s="1"/>
  <c r="F29" i="2"/>
  <c r="F36" i="2" s="1"/>
  <c r="E29" i="2"/>
  <c r="E36" i="2" s="1"/>
  <c r="G24" i="2"/>
  <c r="E24" i="2"/>
  <c r="E23" i="2"/>
  <c r="G20" i="2"/>
  <c r="G23" i="2" s="1"/>
  <c r="F20" i="2"/>
  <c r="F23" i="2" s="1"/>
  <c r="E20" i="2"/>
  <c r="G17" i="2"/>
  <c r="F17" i="2"/>
  <c r="F24" i="2" s="1"/>
  <c r="E17" i="2"/>
  <c r="G8" i="2"/>
  <c r="G11" i="2" s="1"/>
  <c r="F8" i="2"/>
  <c r="F11" i="2" s="1"/>
  <c r="E8" i="2"/>
  <c r="E11" i="2" s="1"/>
  <c r="G5" i="2"/>
  <c r="G12" i="2" s="1"/>
  <c r="F5" i="2"/>
  <c r="F12" i="2" s="1"/>
  <c r="E5" i="2"/>
  <c r="E12" i="2" s="1"/>
  <c r="B5" i="2"/>
  <c r="B12" i="2" s="1"/>
  <c r="C5" i="2"/>
  <c r="D5" i="2"/>
  <c r="B8" i="2"/>
  <c r="B11" i="2" s="1"/>
  <c r="C8" i="2"/>
  <c r="C11" i="2" s="1"/>
  <c r="D8" i="2"/>
  <c r="D11" i="2" s="1"/>
  <c r="C12" i="2"/>
  <c r="D12" i="2"/>
  <c r="B17" i="2"/>
  <c r="B24" i="2" s="1"/>
  <c r="C17" i="2"/>
  <c r="C24" i="2" s="1"/>
  <c r="D17" i="2"/>
  <c r="D24" i="2" s="1"/>
  <c r="B20" i="2"/>
  <c r="C20" i="2"/>
  <c r="D20" i="2"/>
  <c r="D23" i="2" s="1"/>
  <c r="B23" i="2"/>
  <c r="C23" i="2"/>
  <c r="B29" i="2"/>
  <c r="C29" i="2"/>
  <c r="C36" i="2" s="1"/>
  <c r="D29" i="2"/>
  <c r="B32" i="2"/>
  <c r="C32" i="2"/>
  <c r="D32" i="2"/>
  <c r="B35" i="2"/>
  <c r="C35" i="2"/>
  <c r="D35" i="2"/>
  <c r="B36" i="2"/>
  <c r="D36" i="2"/>
  <c r="Y32" i="1"/>
  <c r="Y35" i="1" s="1"/>
  <c r="X32" i="1"/>
  <c r="X35" i="1" s="1"/>
  <c r="W32" i="1"/>
  <c r="W35" i="1" s="1"/>
  <c r="Y29" i="1"/>
  <c r="Y36" i="1" s="1"/>
  <c r="X29" i="1"/>
  <c r="X36" i="1" s="1"/>
  <c r="W29" i="1"/>
  <c r="W36" i="1" s="1"/>
  <c r="X24" i="1"/>
  <c r="W24" i="1"/>
  <c r="Y20" i="1"/>
  <c r="Y23" i="1" s="1"/>
  <c r="X20" i="1"/>
  <c r="X23" i="1" s="1"/>
  <c r="W20" i="1"/>
  <c r="W23" i="1" s="1"/>
  <c r="Y17" i="1"/>
  <c r="Y24" i="1" s="1"/>
  <c r="X17" i="1"/>
  <c r="W17" i="1"/>
  <c r="Y8" i="1"/>
  <c r="Y11" i="1" s="1"/>
  <c r="X8" i="1"/>
  <c r="X11" i="1" s="1"/>
  <c r="W8" i="1"/>
  <c r="W11" i="1" s="1"/>
  <c r="Y5" i="1"/>
  <c r="Y12" i="1" s="1"/>
  <c r="X5" i="1"/>
  <c r="X12" i="1" s="1"/>
  <c r="W5" i="1"/>
  <c r="W12" i="1" s="1"/>
  <c r="S32" i="1"/>
  <c r="S35" i="1" s="1"/>
  <c r="R32" i="1"/>
  <c r="R35" i="1" s="1"/>
  <c r="Q32" i="1"/>
  <c r="Q35" i="1" s="1"/>
  <c r="S29" i="1"/>
  <c r="S36" i="1" s="1"/>
  <c r="R29" i="1"/>
  <c r="R36" i="1" s="1"/>
  <c r="Q29" i="1"/>
  <c r="Q36" i="1" s="1"/>
  <c r="S24" i="1"/>
  <c r="Q24" i="1"/>
  <c r="S20" i="1"/>
  <c r="S23" i="1" s="1"/>
  <c r="R20" i="1"/>
  <c r="R23" i="1" s="1"/>
  <c r="Q20" i="1"/>
  <c r="Q23" i="1" s="1"/>
  <c r="S17" i="1"/>
  <c r="R17" i="1"/>
  <c r="R24" i="1" s="1"/>
  <c r="Q17" i="1"/>
  <c r="S8" i="1"/>
  <c r="S11" i="1" s="1"/>
  <c r="R8" i="1"/>
  <c r="R11" i="1" s="1"/>
  <c r="Q8" i="1"/>
  <c r="Q11" i="1" s="1"/>
  <c r="S5" i="1"/>
  <c r="S12" i="1" s="1"/>
  <c r="R5" i="1"/>
  <c r="R12" i="1" s="1"/>
  <c r="Q5" i="1"/>
  <c r="Q12" i="1" s="1"/>
  <c r="M36" i="1"/>
  <c r="L36" i="1"/>
  <c r="M32" i="1"/>
  <c r="M35" i="1" s="1"/>
  <c r="L32" i="1"/>
  <c r="L35" i="1" s="1"/>
  <c r="K32" i="1"/>
  <c r="K35" i="1" s="1"/>
  <c r="M29" i="1"/>
  <c r="L29" i="1"/>
  <c r="K29" i="1"/>
  <c r="K36" i="1" s="1"/>
  <c r="K24" i="1"/>
  <c r="M20" i="1"/>
  <c r="M23" i="1" s="1"/>
  <c r="L20" i="1"/>
  <c r="L23" i="1" s="1"/>
  <c r="K20" i="1"/>
  <c r="K23" i="1" s="1"/>
  <c r="M17" i="1"/>
  <c r="M24" i="1" s="1"/>
  <c r="L17" i="1"/>
  <c r="L24" i="1" s="1"/>
  <c r="K17" i="1"/>
  <c r="M8" i="1"/>
  <c r="M11" i="1" s="1"/>
  <c r="L8" i="1"/>
  <c r="L11" i="1" s="1"/>
  <c r="K8" i="1"/>
  <c r="K11" i="1" s="1"/>
  <c r="M5" i="1"/>
  <c r="M12" i="1" s="1"/>
  <c r="L5" i="1"/>
  <c r="L12" i="1" s="1"/>
  <c r="K5" i="1"/>
  <c r="K12" i="1" s="1"/>
  <c r="G32" i="1"/>
  <c r="G35" i="1" s="1"/>
  <c r="F32" i="1"/>
  <c r="F35" i="1" s="1"/>
  <c r="E32" i="1"/>
  <c r="E35" i="1" s="1"/>
  <c r="G29" i="1"/>
  <c r="G36" i="1" s="1"/>
  <c r="F29" i="1"/>
  <c r="F36" i="1" s="1"/>
  <c r="E29" i="1"/>
  <c r="E36" i="1" s="1"/>
  <c r="F24" i="1"/>
  <c r="E24" i="1"/>
  <c r="G20" i="1"/>
  <c r="G23" i="1" s="1"/>
  <c r="F20" i="1"/>
  <c r="F23" i="1" s="1"/>
  <c r="E20" i="1"/>
  <c r="E23" i="1" s="1"/>
  <c r="G17" i="1"/>
  <c r="G24" i="1" s="1"/>
  <c r="F17" i="1"/>
  <c r="E17" i="1"/>
  <c r="G8" i="1"/>
  <c r="G11" i="1" s="1"/>
  <c r="F8" i="1"/>
  <c r="F11" i="1" s="1"/>
  <c r="E8" i="1"/>
  <c r="E11" i="1" s="1"/>
  <c r="G5" i="1"/>
  <c r="G12" i="1" s="1"/>
  <c r="F5" i="1"/>
  <c r="F12" i="1" s="1"/>
  <c r="E5" i="1"/>
  <c r="E12" i="1" s="1"/>
  <c r="H24" i="2"/>
  <c r="J20" i="2"/>
  <c r="J23" i="2" s="1"/>
  <c r="I20" i="2"/>
  <c r="I23" i="2" s="1"/>
  <c r="H20" i="2"/>
  <c r="H23" i="2" s="1"/>
  <c r="J17" i="2"/>
  <c r="J24" i="2" s="1"/>
  <c r="I17" i="2"/>
  <c r="I24" i="2" s="1"/>
  <c r="H17" i="2"/>
  <c r="J8" i="1"/>
  <c r="J11" i="1" s="1"/>
  <c r="I8" i="1"/>
  <c r="I11" i="1" s="1"/>
  <c r="H8" i="1"/>
  <c r="H11" i="1" s="1"/>
  <c r="J5" i="1"/>
  <c r="J12" i="1" s="1"/>
  <c r="I5" i="1"/>
  <c r="I12" i="1" s="1"/>
  <c r="H5" i="1"/>
  <c r="H12" i="1" s="1"/>
  <c r="J12" i="2"/>
  <c r="J8" i="2"/>
  <c r="J11" i="2" s="1"/>
  <c r="I8" i="2"/>
  <c r="I11" i="2" s="1"/>
  <c r="H8" i="2"/>
  <c r="H11" i="2" s="1"/>
  <c r="J5" i="2"/>
  <c r="I5" i="2"/>
  <c r="I12" i="2" s="1"/>
  <c r="H5" i="2"/>
  <c r="H12" i="2" s="1"/>
  <c r="J20" i="1"/>
  <c r="J23" i="1" s="1"/>
  <c r="I20" i="1"/>
  <c r="I23" i="1" s="1"/>
  <c r="H20" i="1"/>
  <c r="H23" i="1" s="1"/>
  <c r="J17" i="1"/>
  <c r="J24" i="1" s="1"/>
  <c r="I17" i="1"/>
  <c r="I24" i="1" s="1"/>
  <c r="H17" i="1"/>
  <c r="H24" i="1" s="1"/>
  <c r="D20" i="1"/>
  <c r="D23" i="1" s="1"/>
  <c r="C20" i="1"/>
  <c r="C23" i="1" s="1"/>
  <c r="B20" i="1"/>
  <c r="B23" i="1" s="1"/>
  <c r="D17" i="1"/>
  <c r="D24" i="1" s="1"/>
  <c r="C17" i="1"/>
  <c r="C24" i="1" s="1"/>
  <c r="B17" i="1"/>
  <c r="B24" i="1" s="1"/>
  <c r="N36" i="2"/>
  <c r="J36" i="2"/>
  <c r="I36" i="2"/>
  <c r="O35" i="2"/>
  <c r="N35" i="2"/>
  <c r="V32" i="2"/>
  <c r="V35" i="2" s="1"/>
  <c r="U32" i="2"/>
  <c r="U35" i="2" s="1"/>
  <c r="T32" i="2"/>
  <c r="T35" i="2" s="1"/>
  <c r="P32" i="2"/>
  <c r="P35" i="2" s="1"/>
  <c r="O32" i="2"/>
  <c r="N32" i="2"/>
  <c r="J32" i="2"/>
  <c r="J35" i="2" s="1"/>
  <c r="I32" i="2"/>
  <c r="I35" i="2" s="1"/>
  <c r="H32" i="2"/>
  <c r="H35" i="2" s="1"/>
  <c r="V29" i="2"/>
  <c r="V36" i="2" s="1"/>
  <c r="U29" i="2"/>
  <c r="U36" i="2" s="1"/>
  <c r="T29" i="2"/>
  <c r="T36" i="2" s="1"/>
  <c r="P29" i="2"/>
  <c r="P36" i="2" s="1"/>
  <c r="O29" i="2"/>
  <c r="O36" i="2" s="1"/>
  <c r="N29" i="2"/>
  <c r="J29" i="2"/>
  <c r="I29" i="2"/>
  <c r="H29" i="2"/>
  <c r="H36" i="2" s="1"/>
  <c r="U24" i="2"/>
  <c r="T24" i="2"/>
  <c r="P24" i="2"/>
  <c r="O24" i="2"/>
  <c r="V20" i="2"/>
  <c r="V23" i="2" s="1"/>
  <c r="U20" i="2"/>
  <c r="U23" i="2" s="1"/>
  <c r="T20" i="2"/>
  <c r="T23" i="2" s="1"/>
  <c r="P20" i="2"/>
  <c r="P23" i="2" s="1"/>
  <c r="O20" i="2"/>
  <c r="O23" i="2" s="1"/>
  <c r="N20" i="2"/>
  <c r="N23" i="2" s="1"/>
  <c r="V17" i="2"/>
  <c r="V24" i="2" s="1"/>
  <c r="U17" i="2"/>
  <c r="T17" i="2"/>
  <c r="P17" i="2"/>
  <c r="O17" i="2"/>
  <c r="N17" i="2"/>
  <c r="N24" i="2" s="1"/>
  <c r="U11" i="2"/>
  <c r="O11" i="2"/>
  <c r="N11" i="2"/>
  <c r="V8" i="2"/>
  <c r="V11" i="2" s="1"/>
  <c r="U8" i="2"/>
  <c r="T8" i="2"/>
  <c r="T11" i="2" s="1"/>
  <c r="P8" i="2"/>
  <c r="P11" i="2" s="1"/>
  <c r="O8" i="2"/>
  <c r="N8" i="2"/>
  <c r="V5" i="2"/>
  <c r="V12" i="2" s="1"/>
  <c r="U5" i="2"/>
  <c r="U12" i="2" s="1"/>
  <c r="T5" i="2"/>
  <c r="T12" i="2" s="1"/>
  <c r="P5" i="2"/>
  <c r="P12" i="2" s="1"/>
  <c r="O5" i="2"/>
  <c r="O12" i="2" s="1"/>
  <c r="N5" i="2"/>
  <c r="N12" i="2" s="1"/>
  <c r="V32" i="1"/>
  <c r="V35" i="1" s="1"/>
  <c r="U32" i="1"/>
  <c r="U35" i="1" s="1"/>
  <c r="T32" i="1"/>
  <c r="T35" i="1" s="1"/>
  <c r="P32" i="1"/>
  <c r="P35" i="1" s="1"/>
  <c r="O32" i="1"/>
  <c r="O35" i="1" s="1"/>
  <c r="N32" i="1"/>
  <c r="N35" i="1" s="1"/>
  <c r="J32" i="1"/>
  <c r="J35" i="1" s="1"/>
  <c r="I32" i="1"/>
  <c r="I35" i="1" s="1"/>
  <c r="H32" i="1"/>
  <c r="H35" i="1" s="1"/>
  <c r="D32" i="1"/>
  <c r="D35" i="1" s="1"/>
  <c r="C32" i="1"/>
  <c r="C35" i="1" s="1"/>
  <c r="B32" i="1"/>
  <c r="B35" i="1" s="1"/>
  <c r="V29" i="1"/>
  <c r="V36" i="1" s="1"/>
  <c r="U29" i="1"/>
  <c r="U36" i="1" s="1"/>
  <c r="T29" i="1"/>
  <c r="T36" i="1" s="1"/>
  <c r="P29" i="1"/>
  <c r="P36" i="1" s="1"/>
  <c r="O29" i="1"/>
  <c r="O36" i="1" s="1"/>
  <c r="N29" i="1"/>
  <c r="N36" i="1" s="1"/>
  <c r="J29" i="1"/>
  <c r="J36" i="1" s="1"/>
  <c r="I29" i="1"/>
  <c r="I36" i="1" s="1"/>
  <c r="H29" i="1"/>
  <c r="H36" i="1" s="1"/>
  <c r="D29" i="1"/>
  <c r="D36" i="1" s="1"/>
  <c r="C29" i="1"/>
  <c r="C36" i="1" s="1"/>
  <c r="B29" i="1"/>
  <c r="B36" i="1" s="1"/>
  <c r="V20" i="1"/>
  <c r="V23" i="1" s="1"/>
  <c r="U20" i="1"/>
  <c r="U23" i="1" s="1"/>
  <c r="T20" i="1"/>
  <c r="T23" i="1" s="1"/>
  <c r="P20" i="1"/>
  <c r="P23" i="1" s="1"/>
  <c r="O20" i="1"/>
  <c r="O23" i="1" s="1"/>
  <c r="N20" i="1"/>
  <c r="N23" i="1" s="1"/>
  <c r="V17" i="1"/>
  <c r="V24" i="1" s="1"/>
  <c r="U17" i="1"/>
  <c r="U24" i="1" s="1"/>
  <c r="T17" i="1"/>
  <c r="T24" i="1" s="1"/>
  <c r="P17" i="1"/>
  <c r="P24" i="1" s="1"/>
  <c r="O17" i="1"/>
  <c r="O24" i="1" s="1"/>
  <c r="N17" i="1"/>
  <c r="N24" i="1" s="1"/>
  <c r="D11" i="1"/>
  <c r="V8" i="1"/>
  <c r="V11" i="1" s="1"/>
  <c r="U8" i="1"/>
  <c r="U11" i="1" s="1"/>
  <c r="T8" i="1"/>
  <c r="T11" i="1" s="1"/>
  <c r="P8" i="1"/>
  <c r="P11" i="1" s="1"/>
  <c r="O8" i="1"/>
  <c r="O11" i="1" s="1"/>
  <c r="N8" i="1"/>
  <c r="N11" i="1" s="1"/>
  <c r="D8" i="1"/>
  <c r="C8" i="1"/>
  <c r="C11" i="1" s="1"/>
  <c r="B8" i="1"/>
  <c r="B11" i="1" s="1"/>
  <c r="V5" i="1"/>
  <c r="V12" i="1" s="1"/>
  <c r="U5" i="1"/>
  <c r="U12" i="1" s="1"/>
  <c r="T5" i="1"/>
  <c r="T12" i="1" s="1"/>
  <c r="P5" i="1"/>
  <c r="P12" i="1" s="1"/>
  <c r="O5" i="1"/>
  <c r="O12" i="1" s="1"/>
  <c r="N5" i="1"/>
  <c r="N12" i="1" s="1"/>
  <c r="D5" i="1"/>
  <c r="D12" i="1" s="1"/>
  <c r="C5" i="1"/>
  <c r="C12" i="1" s="1"/>
  <c r="B5" i="1"/>
  <c r="B12" i="1" s="1"/>
</calcChain>
</file>

<file path=xl/sharedStrings.xml><?xml version="1.0" encoding="utf-8"?>
<sst xmlns="http://schemas.openxmlformats.org/spreadsheetml/2006/main" count="212" uniqueCount="24">
  <si>
    <t>Donor: JUb19 Recipient: CeMbio</t>
    <phoneticPr fontId="3" type="noConversion"/>
  </si>
  <si>
    <t>0hr</t>
  </si>
  <si>
    <t>BIGb0170</t>
    <phoneticPr fontId="3" type="noConversion"/>
  </si>
  <si>
    <t>BIGb0172</t>
    <phoneticPr fontId="3" type="noConversion"/>
  </si>
  <si>
    <t>BIGb0393</t>
    <phoneticPr fontId="3" type="noConversion"/>
  </si>
  <si>
    <t>JUb44</t>
    <phoneticPr fontId="3" type="noConversion"/>
  </si>
  <si>
    <t>dilution (pwr)</t>
    <phoneticPr fontId="5" type="noConversion"/>
  </si>
  <si>
    <t>CFU/ml</t>
    <phoneticPr fontId="5" type="noConversion"/>
  </si>
  <si>
    <t>Dilution</t>
  </si>
  <si>
    <t>Average Donor</t>
    <phoneticPr fontId="3" type="noConversion"/>
  </si>
  <si>
    <t>Average Recipient</t>
    <phoneticPr fontId="3" type="noConversion"/>
  </si>
  <si>
    <t>log recipient</t>
    <phoneticPr fontId="3" type="noConversion"/>
  </si>
  <si>
    <t>log donor</t>
    <phoneticPr fontId="3" type="noConversion"/>
  </si>
  <si>
    <t>JUb66</t>
    <phoneticPr fontId="3" type="noConversion"/>
  </si>
  <si>
    <t>JUb134</t>
  </si>
  <si>
    <t>MYb10</t>
  </si>
  <si>
    <t>MYb11</t>
  </si>
  <si>
    <t>MYb71</t>
  </si>
  <si>
    <t>MSPm1</t>
  </si>
  <si>
    <t>CEN2ent</t>
  </si>
  <si>
    <t>JUb19 (control)</t>
  </si>
  <si>
    <t>24hr</t>
    <phoneticPr fontId="5" type="noConversion"/>
  </si>
  <si>
    <t>Donor: JUb19</t>
    <phoneticPr fontId="5" type="noConversion"/>
  </si>
  <si>
    <t>Recipient: CeMbio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</si>
</sst>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#,##0.0"/>
    <numFmt numFmtId="178" formatCode="0.0_ "/>
    <numFmt numFmtId="179" formatCode="0.000000_ "/>
  </numFmts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1"/>
      <color rgb="FFFF0000"/>
      <name val="Arial"/>
      <family val="2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BE9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>
      <alignment horizontal="center"/>
    </xf>
    <xf numFmtId="20" fontId="1" fillId="2" borderId="0" xfId="0" applyNumberFormat="1" applyFont="1" applyFill="1" applyAlignment="1">
      <alignment horizontal="center"/>
    </xf>
    <xf numFmtId="20" fontId="1" fillId="3" borderId="0" xfId="0" applyNumberFormat="1" applyFont="1" applyFill="1" applyAlignment="1">
      <alignment horizontal="center"/>
    </xf>
    <xf numFmtId="20" fontId="1" fillId="4" borderId="0" xfId="0" applyNumberFormat="1" applyFont="1" applyFill="1" applyAlignment="1">
      <alignment horizontal="center"/>
    </xf>
    <xf numFmtId="20" fontId="1" fillId="5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right"/>
    </xf>
    <xf numFmtId="0" fontId="1" fillId="4" borderId="0" xfId="0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right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right"/>
    </xf>
    <xf numFmtId="3" fontId="1" fillId="7" borderId="0" xfId="0" applyNumberFormat="1" applyFont="1" applyFill="1" applyAlignment="1">
      <alignment horizontal="right"/>
    </xf>
    <xf numFmtId="0" fontId="1" fillId="8" borderId="0" xfId="0" applyFont="1" applyFill="1" applyAlignment="1">
      <alignment horizontal="center"/>
    </xf>
    <xf numFmtId="11" fontId="1" fillId="0" borderId="0" xfId="0" applyNumberFormat="1" applyFont="1" applyAlignment="1">
      <alignment horizontal="right"/>
    </xf>
    <xf numFmtId="11" fontId="1" fillId="0" borderId="0" xfId="0" applyNumberFormat="1" applyFont="1" applyAlignment="1"/>
    <xf numFmtId="0" fontId="1" fillId="0" borderId="0" xfId="0" applyFont="1" applyAlignment="1">
      <alignment horizontal="center"/>
    </xf>
    <xf numFmtId="176" fontId="1" fillId="0" borderId="0" xfId="0" applyNumberFormat="1" applyFont="1" applyAlignment="1"/>
    <xf numFmtId="177" fontId="1" fillId="0" borderId="0" xfId="0" applyNumberFormat="1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13</xdr:row>
      <xdr:rowOff>0</xdr:rowOff>
    </xdr:from>
    <xdr:to>
      <xdr:col>30</xdr:col>
      <xdr:colOff>304800</xdr:colOff>
      <xdr:row>14</xdr:row>
      <xdr:rowOff>92529</xdr:rowOff>
    </xdr:to>
    <xdr:sp macro="" textlink="">
      <xdr:nvSpPr>
        <xdr:cNvPr id="1025" name="AutoShape 1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298F1BBF-8F81-49C4-AEBF-9BFF902C89C5}"/>
            </a:ext>
          </a:extLst>
        </xdr:cNvPr>
        <xdr:cNvSpPr>
          <a:spLocks noChangeAspect="1" noChangeArrowheads="1"/>
        </xdr:cNvSpPr>
      </xdr:nvSpPr>
      <xdr:spPr bwMode="auto">
        <a:xfrm>
          <a:off x="26076729" y="2759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304800</xdr:colOff>
      <xdr:row>10</xdr:row>
      <xdr:rowOff>92529</xdr:rowOff>
    </xdr:to>
    <xdr:sp macro="" textlink="">
      <xdr:nvSpPr>
        <xdr:cNvPr id="1026" name="AutoShape 2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4AE89266-8245-48B6-95CB-EA7B100DBD27}"/>
            </a:ext>
          </a:extLst>
        </xdr:cNvPr>
        <xdr:cNvSpPr>
          <a:spLocks noChangeAspect="1" noChangeArrowheads="1"/>
        </xdr:cNvSpPr>
      </xdr:nvSpPr>
      <xdr:spPr bwMode="auto">
        <a:xfrm>
          <a:off x="24770443" y="1910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304800</xdr:colOff>
      <xdr:row>10</xdr:row>
      <xdr:rowOff>92529</xdr:rowOff>
    </xdr:to>
    <xdr:sp macro="" textlink="">
      <xdr:nvSpPr>
        <xdr:cNvPr id="1028" name="AutoShape 4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834FA2BA-1196-4AC8-9D57-9AAFF86AE709}"/>
            </a:ext>
          </a:extLst>
        </xdr:cNvPr>
        <xdr:cNvSpPr>
          <a:spLocks noChangeAspect="1" noChangeArrowheads="1"/>
        </xdr:cNvSpPr>
      </xdr:nvSpPr>
      <xdr:spPr bwMode="auto">
        <a:xfrm>
          <a:off x="24770443" y="1910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BCDF-69B5-4546-91D9-CC4502D0DDDF}">
  <dimension ref="A1:Y36"/>
  <sheetViews>
    <sheetView tabSelected="1" zoomScale="67" zoomScaleNormal="67" workbookViewId="0">
      <selection activeCell="C42" sqref="C42"/>
    </sheetView>
  </sheetViews>
  <sheetFormatPr defaultColWidth="8.875" defaultRowHeight="16.5" x14ac:dyDescent="0.25"/>
  <cols>
    <col min="1" max="1" width="17.875" customWidth="1"/>
    <col min="2" max="2" width="22.75" customWidth="1"/>
    <col min="3" max="3" width="20.5" customWidth="1"/>
    <col min="4" max="5" width="17.875" customWidth="1"/>
    <col min="6" max="6" width="15.5" customWidth="1"/>
    <col min="7" max="7" width="19.625" customWidth="1"/>
    <col min="8" max="8" width="20.375" customWidth="1"/>
    <col min="9" max="10" width="13.625" bestFit="1" customWidth="1"/>
    <col min="11" max="13" width="12.625" customWidth="1"/>
    <col min="14" max="16" width="13.625" bestFit="1" customWidth="1"/>
    <col min="17" max="19" width="12.625" customWidth="1"/>
    <col min="20" max="22" width="13.875" bestFit="1" customWidth="1"/>
    <col min="23" max="25" width="12.625" customWidth="1"/>
  </cols>
  <sheetData>
    <row r="1" spans="1:2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x14ac:dyDescent="0.2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</row>
    <row r="3" spans="1:25" x14ac:dyDescent="0.2">
      <c r="A3" s="7" t="s">
        <v>6</v>
      </c>
      <c r="B3" s="8">
        <v>5</v>
      </c>
      <c r="C3" s="8">
        <v>5</v>
      </c>
      <c r="D3" s="8">
        <v>5</v>
      </c>
      <c r="E3" s="8">
        <v>5</v>
      </c>
      <c r="F3" s="8">
        <v>5</v>
      </c>
      <c r="G3" s="8">
        <v>5</v>
      </c>
      <c r="H3" s="8">
        <v>5</v>
      </c>
      <c r="I3" s="8">
        <v>5</v>
      </c>
      <c r="J3" s="8">
        <v>5</v>
      </c>
      <c r="K3" s="8">
        <v>5</v>
      </c>
      <c r="L3" s="8">
        <v>5</v>
      </c>
      <c r="M3" s="8">
        <v>5</v>
      </c>
      <c r="N3" s="8">
        <v>5</v>
      </c>
      <c r="O3" s="8">
        <v>5</v>
      </c>
      <c r="P3" s="8">
        <v>5</v>
      </c>
      <c r="Q3" s="8">
        <v>5</v>
      </c>
      <c r="R3" s="8">
        <v>5</v>
      </c>
      <c r="S3" s="8">
        <v>5</v>
      </c>
      <c r="T3" s="8">
        <v>5</v>
      </c>
      <c r="U3" s="8">
        <v>5</v>
      </c>
      <c r="V3" s="8">
        <v>5</v>
      </c>
      <c r="W3" s="8">
        <v>5</v>
      </c>
      <c r="X3" s="8">
        <v>5</v>
      </c>
      <c r="Y3" s="8">
        <v>5</v>
      </c>
    </row>
    <row r="4" spans="1:25" x14ac:dyDescent="0.2">
      <c r="A4" s="7" t="s">
        <v>22</v>
      </c>
      <c r="B4" s="8">
        <v>134</v>
      </c>
      <c r="C4" s="8">
        <v>111</v>
      </c>
      <c r="D4" s="8">
        <v>97</v>
      </c>
      <c r="E4" s="8">
        <v>120</v>
      </c>
      <c r="F4" s="8">
        <v>74</v>
      </c>
      <c r="G4" s="8">
        <v>102</v>
      </c>
      <c r="H4" s="8">
        <v>164</v>
      </c>
      <c r="I4" s="8">
        <v>128</v>
      </c>
      <c r="J4" s="8">
        <v>147</v>
      </c>
      <c r="K4" s="8">
        <v>95</v>
      </c>
      <c r="L4" s="8">
        <v>89</v>
      </c>
      <c r="M4" s="8">
        <v>91</v>
      </c>
      <c r="N4" s="8">
        <v>111</v>
      </c>
      <c r="O4" s="8">
        <v>102</v>
      </c>
      <c r="P4" s="8">
        <v>132</v>
      </c>
      <c r="Q4" s="8">
        <v>85</v>
      </c>
      <c r="R4" s="8">
        <v>64</v>
      </c>
      <c r="S4" s="8">
        <v>81</v>
      </c>
      <c r="T4" s="8">
        <v>105</v>
      </c>
      <c r="U4" s="8">
        <v>104</v>
      </c>
      <c r="V4" s="8">
        <v>110</v>
      </c>
      <c r="W4" s="8">
        <v>99</v>
      </c>
      <c r="X4" s="8">
        <v>97</v>
      </c>
      <c r="Y4" s="8">
        <v>86</v>
      </c>
    </row>
    <row r="5" spans="1:25" x14ac:dyDescent="0.2">
      <c r="A5" s="9" t="s">
        <v>7</v>
      </c>
      <c r="B5" s="10">
        <f>B4*POWER(10,B3)*1000</f>
        <v>13400000000</v>
      </c>
      <c r="C5" s="10">
        <f t="shared" ref="C5:Y5" si="0">C4*POWER(10,C3)*1000</f>
        <v>11100000000</v>
      </c>
      <c r="D5" s="10">
        <f t="shared" si="0"/>
        <v>9700000000</v>
      </c>
      <c r="E5" s="10">
        <f>E4*POWER(10,E3)*1000</f>
        <v>12000000000</v>
      </c>
      <c r="F5" s="10">
        <f>F4*POWER(10,F3)*1000</f>
        <v>7400000000</v>
      </c>
      <c r="G5" s="10">
        <f>G4*POWER(10,G3)*1000</f>
        <v>10200000000</v>
      </c>
      <c r="H5" s="10">
        <f t="shared" ref="H5:M5" si="1">H4*POWER(10,H3)*1000</f>
        <v>16400000000</v>
      </c>
      <c r="I5" s="10">
        <f t="shared" si="1"/>
        <v>12800000000</v>
      </c>
      <c r="J5" s="10">
        <f t="shared" si="1"/>
        <v>14700000000</v>
      </c>
      <c r="K5" s="10">
        <f t="shared" si="1"/>
        <v>9500000000</v>
      </c>
      <c r="L5" s="10">
        <f t="shared" si="1"/>
        <v>8900000000</v>
      </c>
      <c r="M5" s="10">
        <f t="shared" si="1"/>
        <v>9100000000</v>
      </c>
      <c r="N5" s="10">
        <f t="shared" si="0"/>
        <v>11100000000</v>
      </c>
      <c r="O5" s="10">
        <f t="shared" si="0"/>
        <v>10200000000</v>
      </c>
      <c r="P5" s="10">
        <f t="shared" si="0"/>
        <v>13200000000</v>
      </c>
      <c r="Q5" s="10">
        <f t="shared" si="0"/>
        <v>8500000000</v>
      </c>
      <c r="R5" s="10">
        <f t="shared" si="0"/>
        <v>6400000000</v>
      </c>
      <c r="S5" s="10">
        <f t="shared" si="0"/>
        <v>8100000000</v>
      </c>
      <c r="T5" s="10">
        <f t="shared" si="0"/>
        <v>10500000000</v>
      </c>
      <c r="U5" s="10">
        <f t="shared" si="0"/>
        <v>10400000000</v>
      </c>
      <c r="V5" s="10">
        <f t="shared" si="0"/>
        <v>11000000000</v>
      </c>
      <c r="W5" s="10">
        <f t="shared" si="0"/>
        <v>9900000000</v>
      </c>
      <c r="X5" s="10">
        <f t="shared" si="0"/>
        <v>9700000000</v>
      </c>
      <c r="Y5" s="10">
        <f t="shared" si="0"/>
        <v>8600000000</v>
      </c>
    </row>
    <row r="6" spans="1:25" x14ac:dyDescent="0.2">
      <c r="A6" s="11" t="s">
        <v>8</v>
      </c>
      <c r="B6" s="12">
        <v>5</v>
      </c>
      <c r="C6" s="12">
        <v>5</v>
      </c>
      <c r="D6" s="12">
        <v>5</v>
      </c>
      <c r="E6" s="12">
        <v>5</v>
      </c>
      <c r="F6" s="12">
        <v>5</v>
      </c>
      <c r="G6" s="12">
        <v>5</v>
      </c>
      <c r="H6" s="12">
        <v>5</v>
      </c>
      <c r="I6" s="12">
        <v>5</v>
      </c>
      <c r="J6" s="12">
        <v>5</v>
      </c>
      <c r="K6" s="12">
        <v>5</v>
      </c>
      <c r="L6" s="12">
        <v>5</v>
      </c>
      <c r="M6" s="12">
        <v>5</v>
      </c>
      <c r="N6" s="12">
        <v>5</v>
      </c>
      <c r="O6" s="12">
        <v>5</v>
      </c>
      <c r="P6" s="12">
        <v>5</v>
      </c>
      <c r="Q6" s="12">
        <v>5</v>
      </c>
      <c r="R6" s="12">
        <v>5</v>
      </c>
      <c r="S6" s="12">
        <v>5</v>
      </c>
      <c r="T6" s="12">
        <v>5</v>
      </c>
      <c r="U6" s="12">
        <v>5</v>
      </c>
      <c r="V6" s="12">
        <v>5</v>
      </c>
      <c r="W6" s="12">
        <v>5</v>
      </c>
      <c r="X6" s="12">
        <v>5</v>
      </c>
      <c r="Y6" s="12">
        <v>5</v>
      </c>
    </row>
    <row r="7" spans="1:25" x14ac:dyDescent="0.2">
      <c r="A7" s="11" t="s">
        <v>23</v>
      </c>
      <c r="B7" s="12">
        <v>48</v>
      </c>
      <c r="C7" s="12">
        <v>57</v>
      </c>
      <c r="D7" s="12">
        <v>44</v>
      </c>
      <c r="E7" s="12">
        <v>67</v>
      </c>
      <c r="F7" s="12">
        <v>61</v>
      </c>
      <c r="G7" s="12">
        <v>65</v>
      </c>
      <c r="H7" s="12">
        <v>24</v>
      </c>
      <c r="I7" s="12">
        <v>19</v>
      </c>
      <c r="J7" s="12">
        <v>20</v>
      </c>
      <c r="K7" s="12">
        <v>38</v>
      </c>
      <c r="L7" s="12">
        <v>49</v>
      </c>
      <c r="M7" s="12">
        <v>32</v>
      </c>
      <c r="N7" s="12">
        <v>86</v>
      </c>
      <c r="O7" s="12">
        <v>47</v>
      </c>
      <c r="P7" s="12">
        <v>59</v>
      </c>
      <c r="Q7" s="12">
        <v>59</v>
      </c>
      <c r="R7" s="12">
        <v>70</v>
      </c>
      <c r="S7" s="12">
        <v>84</v>
      </c>
      <c r="T7" s="12">
        <v>30</v>
      </c>
      <c r="U7" s="12">
        <v>21</v>
      </c>
      <c r="V7" s="12">
        <v>20</v>
      </c>
      <c r="W7" s="12">
        <v>63</v>
      </c>
      <c r="X7" s="12">
        <v>54</v>
      </c>
      <c r="Y7" s="12">
        <v>56</v>
      </c>
    </row>
    <row r="8" spans="1:25" x14ac:dyDescent="0.2">
      <c r="A8" s="11" t="s">
        <v>7</v>
      </c>
      <c r="B8" s="13">
        <f t="shared" ref="B8:G8" si="2">B7*POWER(10,B6)*1000</f>
        <v>4800000000</v>
      </c>
      <c r="C8" s="13">
        <f t="shared" si="2"/>
        <v>5700000000</v>
      </c>
      <c r="D8" s="13">
        <f t="shared" si="2"/>
        <v>4400000000</v>
      </c>
      <c r="E8" s="13">
        <f t="shared" si="2"/>
        <v>6700000000</v>
      </c>
      <c r="F8" s="13">
        <f t="shared" si="2"/>
        <v>6100000000</v>
      </c>
      <c r="G8" s="13">
        <f t="shared" si="2"/>
        <v>6500000000</v>
      </c>
      <c r="H8" s="13">
        <f t="shared" ref="H8:M8" si="3">H7*POWER(10,H6)*1000</f>
        <v>2400000000</v>
      </c>
      <c r="I8" s="13">
        <f t="shared" si="3"/>
        <v>1900000000</v>
      </c>
      <c r="J8" s="13">
        <f t="shared" si="3"/>
        <v>2000000000</v>
      </c>
      <c r="K8" s="13">
        <f t="shared" si="3"/>
        <v>3800000000</v>
      </c>
      <c r="L8" s="13">
        <f t="shared" si="3"/>
        <v>4900000000</v>
      </c>
      <c r="M8" s="13">
        <f t="shared" si="3"/>
        <v>3200000000</v>
      </c>
      <c r="N8" s="13">
        <f t="shared" ref="N8:Y8" si="4">N7*POWER(10,N6)*1000</f>
        <v>8600000000</v>
      </c>
      <c r="O8" s="13">
        <f t="shared" si="4"/>
        <v>4700000000</v>
      </c>
      <c r="P8" s="13">
        <f t="shared" si="4"/>
        <v>5900000000</v>
      </c>
      <c r="Q8" s="13">
        <f t="shared" si="4"/>
        <v>5900000000</v>
      </c>
      <c r="R8" s="13">
        <f t="shared" si="4"/>
        <v>7000000000</v>
      </c>
      <c r="S8" s="13">
        <f t="shared" si="4"/>
        <v>8400000000</v>
      </c>
      <c r="T8" s="13">
        <f t="shared" si="4"/>
        <v>3000000000</v>
      </c>
      <c r="U8" s="13">
        <f t="shared" si="4"/>
        <v>2100000000</v>
      </c>
      <c r="V8" s="13">
        <f t="shared" si="4"/>
        <v>2000000000</v>
      </c>
      <c r="W8" s="13">
        <f t="shared" si="4"/>
        <v>6300000000</v>
      </c>
      <c r="X8" s="13">
        <f t="shared" si="4"/>
        <v>5400000000</v>
      </c>
      <c r="Y8" s="13">
        <f t="shared" si="4"/>
        <v>5600000000</v>
      </c>
    </row>
    <row r="9" spans="1:25" x14ac:dyDescent="0.2">
      <c r="A9" s="14" t="s">
        <v>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">
      <c r="A10" s="14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x14ac:dyDescent="0.2">
      <c r="A11" s="17" t="s">
        <v>11</v>
      </c>
      <c r="B11" s="18">
        <f>LOG(B8)</f>
        <v>9.6812412373755876</v>
      </c>
      <c r="C11" s="18">
        <f t="shared" ref="C11:S11" si="5">LOG(C8)</f>
        <v>9.7558748556724915</v>
      </c>
      <c r="D11" s="18">
        <f t="shared" si="5"/>
        <v>9.6434526764861879</v>
      </c>
      <c r="E11" s="18">
        <f>LOG(E8)</f>
        <v>9.8260748027008269</v>
      </c>
      <c r="F11" s="18">
        <f>LOG(F8)</f>
        <v>9.7853298350107671</v>
      </c>
      <c r="G11" s="18">
        <f>LOG(G8)</f>
        <v>9.8129133566428557</v>
      </c>
      <c r="H11" s="18">
        <f t="shared" ref="H11:M11" si="6">LOG(H8)</f>
        <v>9.3802112417116064</v>
      </c>
      <c r="I11" s="18">
        <f t="shared" si="6"/>
        <v>9.2787536009528289</v>
      </c>
      <c r="J11" s="18">
        <f t="shared" si="6"/>
        <v>9.3010299956639813</v>
      </c>
      <c r="K11" s="18">
        <f t="shared" si="6"/>
        <v>9.5797835966168101</v>
      </c>
      <c r="L11" s="18">
        <f t="shared" si="6"/>
        <v>9.6901960800285138</v>
      </c>
      <c r="M11" s="18">
        <f t="shared" si="6"/>
        <v>9.5051499783199063</v>
      </c>
      <c r="N11" s="18">
        <f t="shared" si="5"/>
        <v>9.9344984512435683</v>
      </c>
      <c r="O11" s="18">
        <f t="shared" si="5"/>
        <v>9.672097857935718</v>
      </c>
      <c r="P11" s="18">
        <f t="shared" si="5"/>
        <v>9.7708520116421447</v>
      </c>
      <c r="Q11" s="18">
        <f t="shared" si="5"/>
        <v>9.7708520116421447</v>
      </c>
      <c r="R11" s="18">
        <f t="shared" si="5"/>
        <v>9.8450980400142569</v>
      </c>
      <c r="S11" s="18">
        <f t="shared" si="5"/>
        <v>9.924279286061882</v>
      </c>
      <c r="T11" s="18">
        <f t="shared" ref="T11:Y11" si="7">LOG(T8)</f>
        <v>9.4771212547196626</v>
      </c>
      <c r="U11" s="18">
        <f t="shared" si="7"/>
        <v>9.3222192947339195</v>
      </c>
      <c r="V11" s="18">
        <f t="shared" si="7"/>
        <v>9.3010299956639813</v>
      </c>
      <c r="W11" s="18">
        <f t="shared" si="7"/>
        <v>9.7993405494535821</v>
      </c>
      <c r="X11" s="18">
        <f t="shared" si="7"/>
        <v>9.7323937598229691</v>
      </c>
      <c r="Y11" s="18">
        <f t="shared" si="7"/>
        <v>9.7481880270062007</v>
      </c>
    </row>
    <row r="12" spans="1:25" x14ac:dyDescent="0.2">
      <c r="A12" s="17" t="s">
        <v>12</v>
      </c>
      <c r="B12" s="19">
        <f>LOG(B5)</f>
        <v>10.127104798364808</v>
      </c>
      <c r="C12" s="19">
        <f t="shared" ref="C12:Y12" si="8">LOG(C5)</f>
        <v>10.045322978786658</v>
      </c>
      <c r="D12" s="19">
        <f t="shared" si="8"/>
        <v>9.9867717342662452</v>
      </c>
      <c r="E12" s="19">
        <f>LOG(E5)</f>
        <v>10.079181246047625</v>
      </c>
      <c r="F12" s="19">
        <f>LOG(F5)</f>
        <v>9.8692317197309762</v>
      </c>
      <c r="G12" s="19">
        <f>LOG(G5)</f>
        <v>10.008600171761918</v>
      </c>
      <c r="H12" s="19">
        <f t="shared" ref="H12:M12" si="9">LOG(H5)</f>
        <v>10.214843848047698</v>
      </c>
      <c r="I12" s="19">
        <f t="shared" si="9"/>
        <v>10.107209969647869</v>
      </c>
      <c r="J12" s="19">
        <f t="shared" si="9"/>
        <v>10.167317334748176</v>
      </c>
      <c r="K12" s="19">
        <f t="shared" si="9"/>
        <v>9.9777236052888476</v>
      </c>
      <c r="L12" s="19">
        <f t="shared" si="9"/>
        <v>9.9493900066449132</v>
      </c>
      <c r="M12" s="19">
        <f t="shared" si="9"/>
        <v>9.9590413923210939</v>
      </c>
      <c r="N12" s="19">
        <f t="shared" si="8"/>
        <v>10.045322978786658</v>
      </c>
      <c r="O12" s="19">
        <f t="shared" si="8"/>
        <v>10.008600171761918</v>
      </c>
      <c r="P12" s="19">
        <f t="shared" si="8"/>
        <v>10.12057393120585</v>
      </c>
      <c r="Q12" s="19">
        <f t="shared" si="8"/>
        <v>9.9294189257142929</v>
      </c>
      <c r="R12" s="19">
        <f t="shared" si="8"/>
        <v>9.8061799739838875</v>
      </c>
      <c r="S12" s="19">
        <f t="shared" si="8"/>
        <v>9.9084850188786504</v>
      </c>
      <c r="T12" s="19">
        <f t="shared" si="8"/>
        <v>10.021189299069938</v>
      </c>
      <c r="U12" s="19">
        <f t="shared" si="8"/>
        <v>10.017033339298781</v>
      </c>
      <c r="V12" s="19">
        <f t="shared" si="8"/>
        <v>10.041392685158225</v>
      </c>
      <c r="W12" s="19">
        <f t="shared" si="8"/>
        <v>9.9956351945975506</v>
      </c>
      <c r="X12" s="19">
        <f t="shared" si="8"/>
        <v>9.9867717342662452</v>
      </c>
      <c r="Y12" s="19">
        <f t="shared" si="8"/>
        <v>9.9344984512435683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2" t="s">
        <v>1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5" t="s">
        <v>15</v>
      </c>
      <c r="O14" s="5" t="s">
        <v>15</v>
      </c>
      <c r="P14" s="5" t="s">
        <v>15</v>
      </c>
      <c r="Q14" s="5" t="s">
        <v>15</v>
      </c>
      <c r="R14" s="5" t="s">
        <v>15</v>
      </c>
      <c r="S14" s="5" t="s">
        <v>15</v>
      </c>
      <c r="T14" s="6" t="s">
        <v>16</v>
      </c>
      <c r="U14" s="6" t="s">
        <v>16</v>
      </c>
      <c r="V14" s="6" t="s">
        <v>16</v>
      </c>
      <c r="W14" s="6" t="s">
        <v>16</v>
      </c>
      <c r="X14" s="6" t="s">
        <v>16</v>
      </c>
      <c r="Y14" s="6" t="s">
        <v>16</v>
      </c>
    </row>
    <row r="15" spans="1:25" x14ac:dyDescent="0.2">
      <c r="A15" s="7" t="s">
        <v>6</v>
      </c>
      <c r="B15" s="8">
        <v>5</v>
      </c>
      <c r="C15" s="8">
        <v>5</v>
      </c>
      <c r="D15" s="8">
        <v>5</v>
      </c>
      <c r="E15" s="8">
        <v>5</v>
      </c>
      <c r="F15" s="8">
        <v>5</v>
      </c>
      <c r="G15" s="8">
        <v>5</v>
      </c>
      <c r="H15" s="8">
        <v>5</v>
      </c>
      <c r="I15" s="8">
        <v>5</v>
      </c>
      <c r="J15" s="8">
        <v>5</v>
      </c>
      <c r="K15" s="8">
        <v>5</v>
      </c>
      <c r="L15" s="8">
        <v>5</v>
      </c>
      <c r="M15" s="8">
        <v>5</v>
      </c>
      <c r="N15" s="8">
        <v>5</v>
      </c>
      <c r="O15" s="8">
        <v>5</v>
      </c>
      <c r="P15" s="8">
        <v>5</v>
      </c>
      <c r="Q15" s="8">
        <v>5</v>
      </c>
      <c r="R15" s="8">
        <v>5</v>
      </c>
      <c r="S15" s="8">
        <v>5</v>
      </c>
      <c r="T15" s="8">
        <v>5</v>
      </c>
      <c r="U15" s="8">
        <v>5</v>
      </c>
      <c r="V15" s="8">
        <v>5</v>
      </c>
      <c r="W15" s="8">
        <v>5</v>
      </c>
      <c r="X15" s="8">
        <v>5</v>
      </c>
      <c r="Y15" s="8">
        <v>5</v>
      </c>
    </row>
    <row r="16" spans="1:25" x14ac:dyDescent="0.2">
      <c r="A16" s="7" t="s">
        <v>22</v>
      </c>
      <c r="B16" s="8">
        <v>135</v>
      </c>
      <c r="C16" s="8">
        <v>122</v>
      </c>
      <c r="D16" s="8">
        <v>122</v>
      </c>
      <c r="E16" s="8">
        <v>90</v>
      </c>
      <c r="F16" s="8">
        <v>74</v>
      </c>
      <c r="G16" s="8">
        <v>78</v>
      </c>
      <c r="H16" s="8">
        <v>81</v>
      </c>
      <c r="I16" s="8">
        <v>64</v>
      </c>
      <c r="J16" s="8">
        <v>85</v>
      </c>
      <c r="K16" s="8">
        <v>91</v>
      </c>
      <c r="L16" s="8">
        <v>94</v>
      </c>
      <c r="M16" s="8">
        <v>91</v>
      </c>
      <c r="N16" s="8">
        <v>95</v>
      </c>
      <c r="O16" s="8">
        <v>114</v>
      </c>
      <c r="P16" s="8">
        <v>80</v>
      </c>
      <c r="Q16" s="8">
        <v>89</v>
      </c>
      <c r="R16" s="8">
        <v>67</v>
      </c>
      <c r="S16" s="8">
        <v>62</v>
      </c>
      <c r="T16" s="8">
        <v>95</v>
      </c>
      <c r="U16" s="8">
        <v>124</v>
      </c>
      <c r="V16" s="8">
        <v>100</v>
      </c>
      <c r="W16" s="8">
        <v>76</v>
      </c>
      <c r="X16" s="8">
        <v>108</v>
      </c>
      <c r="Y16" s="8">
        <v>81</v>
      </c>
    </row>
    <row r="17" spans="1:25" x14ac:dyDescent="0.2">
      <c r="A17" s="9" t="s">
        <v>7</v>
      </c>
      <c r="B17" s="10">
        <f t="shared" ref="B17:M17" si="10">B16*POWER(10,B15)*1000</f>
        <v>13500000000</v>
      </c>
      <c r="C17" s="10">
        <f t="shared" si="10"/>
        <v>12200000000</v>
      </c>
      <c r="D17" s="10">
        <f t="shared" si="10"/>
        <v>12200000000</v>
      </c>
      <c r="E17" s="10">
        <f t="shared" si="10"/>
        <v>9000000000</v>
      </c>
      <c r="F17" s="10">
        <f t="shared" si="10"/>
        <v>7400000000</v>
      </c>
      <c r="G17" s="10">
        <f t="shared" si="10"/>
        <v>7800000000</v>
      </c>
      <c r="H17" s="10">
        <f t="shared" si="10"/>
        <v>8100000000</v>
      </c>
      <c r="I17" s="10">
        <f t="shared" si="10"/>
        <v>6400000000</v>
      </c>
      <c r="J17" s="10">
        <f t="shared" si="10"/>
        <v>8500000000</v>
      </c>
      <c r="K17" s="10">
        <f t="shared" si="10"/>
        <v>9100000000</v>
      </c>
      <c r="L17" s="10">
        <f t="shared" si="10"/>
        <v>9400000000</v>
      </c>
      <c r="M17" s="10">
        <f t="shared" si="10"/>
        <v>9100000000</v>
      </c>
      <c r="N17" s="10">
        <f t="shared" ref="N17:Y17" si="11">N16*POWER(10,N15)*1000</f>
        <v>9500000000</v>
      </c>
      <c r="O17" s="10">
        <f t="shared" si="11"/>
        <v>11400000000</v>
      </c>
      <c r="P17" s="10">
        <f t="shared" si="11"/>
        <v>8000000000</v>
      </c>
      <c r="Q17" s="10">
        <f t="shared" si="11"/>
        <v>8900000000</v>
      </c>
      <c r="R17" s="10">
        <f t="shared" si="11"/>
        <v>6700000000</v>
      </c>
      <c r="S17" s="10">
        <f t="shared" si="11"/>
        <v>6200000000</v>
      </c>
      <c r="T17" s="10">
        <f t="shared" si="11"/>
        <v>9500000000</v>
      </c>
      <c r="U17" s="10">
        <f t="shared" si="11"/>
        <v>12400000000</v>
      </c>
      <c r="V17" s="10">
        <f t="shared" si="11"/>
        <v>10000000000</v>
      </c>
      <c r="W17" s="10">
        <f t="shared" si="11"/>
        <v>7600000000</v>
      </c>
      <c r="X17" s="10">
        <f t="shared" si="11"/>
        <v>10800000000</v>
      </c>
      <c r="Y17" s="10">
        <f t="shared" si="11"/>
        <v>8100000000</v>
      </c>
    </row>
    <row r="18" spans="1:25" x14ac:dyDescent="0.2">
      <c r="A18" s="11" t="s">
        <v>8</v>
      </c>
      <c r="B18" s="12">
        <v>5</v>
      </c>
      <c r="C18" s="12">
        <v>5</v>
      </c>
      <c r="D18" s="12">
        <v>5</v>
      </c>
      <c r="E18" s="12">
        <v>5</v>
      </c>
      <c r="F18" s="12">
        <v>5</v>
      </c>
      <c r="G18" s="12">
        <v>5</v>
      </c>
      <c r="H18" s="12">
        <v>5</v>
      </c>
      <c r="I18" s="12">
        <v>5</v>
      </c>
      <c r="J18" s="12">
        <v>5</v>
      </c>
      <c r="K18" s="12">
        <v>5</v>
      </c>
      <c r="L18" s="12">
        <v>5</v>
      </c>
      <c r="M18" s="12">
        <v>5</v>
      </c>
      <c r="N18" s="12">
        <v>5</v>
      </c>
      <c r="O18" s="12">
        <v>5</v>
      </c>
      <c r="P18" s="12">
        <v>5</v>
      </c>
      <c r="Q18" s="12">
        <v>5</v>
      </c>
      <c r="R18" s="12">
        <v>5</v>
      </c>
      <c r="S18" s="12">
        <v>5</v>
      </c>
      <c r="T18" s="12">
        <v>5</v>
      </c>
      <c r="U18" s="12">
        <v>5</v>
      </c>
      <c r="V18" s="12">
        <v>5</v>
      </c>
      <c r="W18" s="12">
        <v>5</v>
      </c>
      <c r="X18" s="12">
        <v>5</v>
      </c>
      <c r="Y18" s="12">
        <v>5</v>
      </c>
    </row>
    <row r="19" spans="1:25" x14ac:dyDescent="0.2">
      <c r="A19" s="11" t="s">
        <v>23</v>
      </c>
      <c r="B19" s="12">
        <v>131</v>
      </c>
      <c r="C19" s="12">
        <v>159</v>
      </c>
      <c r="D19" s="12">
        <v>166</v>
      </c>
      <c r="E19" s="12">
        <v>112</v>
      </c>
      <c r="F19" s="12">
        <v>104</v>
      </c>
      <c r="G19" s="12">
        <v>101</v>
      </c>
      <c r="H19" s="12">
        <v>41</v>
      </c>
      <c r="I19" s="12">
        <v>38</v>
      </c>
      <c r="J19" s="12">
        <v>29</v>
      </c>
      <c r="K19" s="12">
        <v>30</v>
      </c>
      <c r="L19" s="12">
        <v>31</v>
      </c>
      <c r="M19" s="12">
        <v>36</v>
      </c>
      <c r="N19" s="12">
        <v>22</v>
      </c>
      <c r="O19" s="12">
        <v>23</v>
      </c>
      <c r="P19" s="12">
        <v>19</v>
      </c>
      <c r="Q19" s="12">
        <v>32</v>
      </c>
      <c r="R19" s="12">
        <v>28</v>
      </c>
      <c r="S19" s="12">
        <v>45</v>
      </c>
      <c r="T19" s="12">
        <v>15</v>
      </c>
      <c r="U19" s="12">
        <v>15</v>
      </c>
      <c r="V19" s="12">
        <v>24</v>
      </c>
      <c r="W19" s="12">
        <v>47</v>
      </c>
      <c r="X19" s="12">
        <v>41</v>
      </c>
      <c r="Y19" s="12">
        <v>33</v>
      </c>
    </row>
    <row r="20" spans="1:25" x14ac:dyDescent="0.2">
      <c r="A20" s="11" t="s">
        <v>7</v>
      </c>
      <c r="B20" s="13">
        <f t="shared" ref="B20:Y20" si="12">B19*POWER(10,B18)*1000</f>
        <v>13100000000</v>
      </c>
      <c r="C20" s="13">
        <f t="shared" si="12"/>
        <v>15900000000</v>
      </c>
      <c r="D20" s="13">
        <f t="shared" si="12"/>
        <v>16600000000</v>
      </c>
      <c r="E20" s="13">
        <f t="shared" si="12"/>
        <v>11200000000</v>
      </c>
      <c r="F20" s="13">
        <f t="shared" si="12"/>
        <v>10400000000</v>
      </c>
      <c r="G20" s="13">
        <f t="shared" si="12"/>
        <v>10100000000</v>
      </c>
      <c r="H20" s="13">
        <f t="shared" si="12"/>
        <v>4100000000</v>
      </c>
      <c r="I20" s="13">
        <f t="shared" si="12"/>
        <v>3800000000</v>
      </c>
      <c r="J20" s="13">
        <f t="shared" si="12"/>
        <v>2900000000</v>
      </c>
      <c r="K20" s="13">
        <f t="shared" si="12"/>
        <v>3000000000</v>
      </c>
      <c r="L20" s="13">
        <f t="shared" si="12"/>
        <v>3100000000</v>
      </c>
      <c r="M20" s="13">
        <f t="shared" si="12"/>
        <v>3600000000</v>
      </c>
      <c r="N20" s="13">
        <f t="shared" si="12"/>
        <v>2200000000</v>
      </c>
      <c r="O20" s="13">
        <f t="shared" si="12"/>
        <v>2300000000</v>
      </c>
      <c r="P20" s="13">
        <f t="shared" si="12"/>
        <v>1900000000</v>
      </c>
      <c r="Q20" s="13">
        <f t="shared" si="12"/>
        <v>3200000000</v>
      </c>
      <c r="R20" s="13">
        <f t="shared" si="12"/>
        <v>2800000000</v>
      </c>
      <c r="S20" s="13">
        <f t="shared" si="12"/>
        <v>4500000000</v>
      </c>
      <c r="T20" s="13">
        <f t="shared" si="12"/>
        <v>1500000000</v>
      </c>
      <c r="U20" s="13">
        <f t="shared" si="12"/>
        <v>1500000000</v>
      </c>
      <c r="V20" s="13">
        <f t="shared" si="12"/>
        <v>2400000000</v>
      </c>
      <c r="W20" s="13">
        <f t="shared" si="12"/>
        <v>4700000000</v>
      </c>
      <c r="X20" s="13">
        <f t="shared" si="12"/>
        <v>4100000000</v>
      </c>
      <c r="Y20" s="13">
        <f t="shared" si="12"/>
        <v>3300000000</v>
      </c>
    </row>
    <row r="21" spans="1:25" x14ac:dyDescent="0.2">
      <c r="A21" s="14" t="s">
        <v>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">
      <c r="A22" s="14" t="s">
        <v>10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2">
      <c r="A23" s="17" t="s">
        <v>11</v>
      </c>
      <c r="B23" s="18">
        <f t="shared" ref="B23:M23" si="13">LOG(B20)</f>
        <v>10.117271295655764</v>
      </c>
      <c r="C23" s="18">
        <f t="shared" si="13"/>
        <v>10.201397124320451</v>
      </c>
      <c r="D23" s="18">
        <f t="shared" si="13"/>
        <v>10.220108088040055</v>
      </c>
      <c r="E23" s="18">
        <f t="shared" si="13"/>
        <v>10.049218022670182</v>
      </c>
      <c r="F23" s="18">
        <f t="shared" si="13"/>
        <v>10.017033339298781</v>
      </c>
      <c r="G23" s="18">
        <f t="shared" si="13"/>
        <v>10.004321373782643</v>
      </c>
      <c r="H23" s="18">
        <f t="shared" si="13"/>
        <v>9.6127838567197355</v>
      </c>
      <c r="I23" s="18">
        <f t="shared" si="13"/>
        <v>9.5797835966168101</v>
      </c>
      <c r="J23" s="18">
        <f t="shared" si="13"/>
        <v>9.4623979978989556</v>
      </c>
      <c r="K23" s="18">
        <f t="shared" si="13"/>
        <v>9.4771212547196626</v>
      </c>
      <c r="L23" s="18">
        <f t="shared" si="13"/>
        <v>9.4913616938342731</v>
      </c>
      <c r="M23" s="18">
        <f t="shared" si="13"/>
        <v>9.5563025007672877</v>
      </c>
      <c r="N23" s="18">
        <f t="shared" ref="N23:S23" si="14">LOG(N20)</f>
        <v>9.3424226808222066</v>
      </c>
      <c r="O23" s="18">
        <f t="shared" si="14"/>
        <v>9.3617278360175931</v>
      </c>
      <c r="P23" s="18">
        <f t="shared" si="14"/>
        <v>9.2787536009528289</v>
      </c>
      <c r="Q23" s="18">
        <f t="shared" si="14"/>
        <v>9.5051499783199063</v>
      </c>
      <c r="R23" s="18">
        <f t="shared" si="14"/>
        <v>9.4471580313422194</v>
      </c>
      <c r="S23" s="18">
        <f t="shared" si="14"/>
        <v>9.653212513775344</v>
      </c>
      <c r="T23" s="18">
        <f t="shared" ref="T23:Y23" si="15">LOG(T20)</f>
        <v>9.1760912590556813</v>
      </c>
      <c r="U23" s="18">
        <f t="shared" si="15"/>
        <v>9.1760912590556813</v>
      </c>
      <c r="V23" s="18">
        <f t="shared" si="15"/>
        <v>9.3802112417116064</v>
      </c>
      <c r="W23" s="18">
        <f t="shared" si="15"/>
        <v>9.672097857935718</v>
      </c>
      <c r="X23" s="18">
        <f t="shared" si="15"/>
        <v>9.6127838567197355</v>
      </c>
      <c r="Y23" s="18">
        <f t="shared" si="15"/>
        <v>9.518513939877888</v>
      </c>
    </row>
    <row r="24" spans="1:25" x14ac:dyDescent="0.2">
      <c r="A24" s="17" t="s">
        <v>12</v>
      </c>
      <c r="B24" s="19">
        <f t="shared" ref="B24:M24" si="16">LOG(B17)</f>
        <v>10.130333768495007</v>
      </c>
      <c r="C24" s="19">
        <f t="shared" si="16"/>
        <v>10.086359830674748</v>
      </c>
      <c r="D24" s="19">
        <f t="shared" si="16"/>
        <v>10.086359830674748</v>
      </c>
      <c r="E24" s="19">
        <f t="shared" si="16"/>
        <v>9.9542425094393252</v>
      </c>
      <c r="F24" s="19">
        <f t="shared" si="16"/>
        <v>9.8692317197309762</v>
      </c>
      <c r="G24" s="19">
        <f t="shared" si="16"/>
        <v>9.8920946026904808</v>
      </c>
      <c r="H24" s="19">
        <f t="shared" si="16"/>
        <v>9.9084850188786504</v>
      </c>
      <c r="I24" s="19">
        <f t="shared" si="16"/>
        <v>9.8061799739838875</v>
      </c>
      <c r="J24" s="19">
        <f t="shared" si="16"/>
        <v>9.9294189257142929</v>
      </c>
      <c r="K24" s="19">
        <f t="shared" si="16"/>
        <v>9.9590413923210939</v>
      </c>
      <c r="L24" s="19">
        <f t="shared" si="16"/>
        <v>9.9731278535996992</v>
      </c>
      <c r="M24" s="19">
        <f t="shared" si="16"/>
        <v>9.9590413923210939</v>
      </c>
      <c r="N24" s="19">
        <f t="shared" ref="N24:Y24" si="17">LOG(N17)</f>
        <v>9.9777236052888476</v>
      </c>
      <c r="O24" s="19">
        <f t="shared" si="17"/>
        <v>10.056904851336473</v>
      </c>
      <c r="P24" s="19">
        <f t="shared" si="17"/>
        <v>9.9030899869919438</v>
      </c>
      <c r="Q24" s="19">
        <f t="shared" si="17"/>
        <v>9.9493900066449132</v>
      </c>
      <c r="R24" s="19">
        <f t="shared" si="17"/>
        <v>9.8260748027008269</v>
      </c>
      <c r="S24" s="19">
        <f t="shared" si="17"/>
        <v>9.7923916894982543</v>
      </c>
      <c r="T24" s="19">
        <f t="shared" si="17"/>
        <v>9.9777236052888476</v>
      </c>
      <c r="U24" s="19">
        <f t="shared" si="17"/>
        <v>10.093421685162236</v>
      </c>
      <c r="V24" s="19">
        <f t="shared" si="17"/>
        <v>10</v>
      </c>
      <c r="W24" s="19">
        <f t="shared" si="17"/>
        <v>9.8808135922807914</v>
      </c>
      <c r="X24" s="19">
        <f t="shared" si="17"/>
        <v>10.03342375548695</v>
      </c>
      <c r="Y24" s="19">
        <f t="shared" si="17"/>
        <v>9.9084850188786504</v>
      </c>
    </row>
    <row r="25" spans="1:25" x14ac:dyDescent="0.2">
      <c r="A25" s="17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2">
      <c r="A26" s="2" t="s">
        <v>1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  <c r="N26" s="5" t="s">
        <v>19</v>
      </c>
      <c r="O26" s="5" t="s">
        <v>19</v>
      </c>
      <c r="P26" s="5" t="s">
        <v>19</v>
      </c>
      <c r="Q26" s="5" t="s">
        <v>19</v>
      </c>
      <c r="R26" s="5" t="s">
        <v>19</v>
      </c>
      <c r="S26" s="5" t="s">
        <v>19</v>
      </c>
      <c r="T26" s="6" t="s">
        <v>20</v>
      </c>
      <c r="U26" s="6" t="s">
        <v>20</v>
      </c>
      <c r="V26" s="6" t="s">
        <v>20</v>
      </c>
      <c r="W26" s="6" t="s">
        <v>20</v>
      </c>
      <c r="X26" s="6" t="s">
        <v>20</v>
      </c>
      <c r="Y26" s="6" t="s">
        <v>20</v>
      </c>
    </row>
    <row r="27" spans="1:25" x14ac:dyDescent="0.2">
      <c r="A27" s="7" t="s">
        <v>6</v>
      </c>
      <c r="B27" s="8">
        <v>5</v>
      </c>
      <c r="C27" s="8">
        <v>5</v>
      </c>
      <c r="D27" s="8">
        <v>5</v>
      </c>
      <c r="E27" s="8">
        <v>5</v>
      </c>
      <c r="F27" s="8">
        <v>5</v>
      </c>
      <c r="G27" s="8">
        <v>5</v>
      </c>
      <c r="H27" s="8">
        <v>5</v>
      </c>
      <c r="I27" s="8">
        <v>5</v>
      </c>
      <c r="J27" s="8">
        <v>5</v>
      </c>
      <c r="K27" s="8">
        <v>5</v>
      </c>
      <c r="L27" s="8">
        <v>5</v>
      </c>
      <c r="M27" s="8">
        <v>5</v>
      </c>
      <c r="N27" s="8">
        <v>5</v>
      </c>
      <c r="O27" s="8">
        <v>5</v>
      </c>
      <c r="P27" s="8">
        <v>5</v>
      </c>
      <c r="Q27" s="8">
        <v>5</v>
      </c>
      <c r="R27" s="8">
        <v>5</v>
      </c>
      <c r="S27" s="8">
        <v>5</v>
      </c>
      <c r="T27" s="8">
        <v>5</v>
      </c>
      <c r="U27" s="8">
        <v>5</v>
      </c>
      <c r="V27" s="8">
        <v>5</v>
      </c>
      <c r="W27" s="8">
        <v>5</v>
      </c>
      <c r="X27" s="8">
        <v>5</v>
      </c>
      <c r="Y27" s="8">
        <v>5</v>
      </c>
    </row>
    <row r="28" spans="1:25" x14ac:dyDescent="0.2">
      <c r="A28" s="7" t="s">
        <v>22</v>
      </c>
      <c r="B28" s="8">
        <v>112</v>
      </c>
      <c r="C28" s="8">
        <v>130</v>
      </c>
      <c r="D28" s="8">
        <v>106</v>
      </c>
      <c r="E28" s="8">
        <v>87</v>
      </c>
      <c r="F28" s="8">
        <v>100</v>
      </c>
      <c r="G28" s="8">
        <v>80</v>
      </c>
      <c r="H28" s="8">
        <v>124</v>
      </c>
      <c r="I28" s="8">
        <v>115</v>
      </c>
      <c r="J28" s="8">
        <v>111</v>
      </c>
      <c r="K28" s="8">
        <v>86</v>
      </c>
      <c r="L28" s="8">
        <v>77</v>
      </c>
      <c r="M28" s="8">
        <v>71</v>
      </c>
      <c r="N28" s="8">
        <v>122</v>
      </c>
      <c r="O28" s="8">
        <v>99</v>
      </c>
      <c r="P28" s="8">
        <v>110</v>
      </c>
      <c r="Q28" s="8">
        <v>92</v>
      </c>
      <c r="R28" s="8">
        <v>98</v>
      </c>
      <c r="S28" s="8">
        <v>87</v>
      </c>
      <c r="T28" s="8">
        <v>96</v>
      </c>
      <c r="U28" s="8">
        <v>99</v>
      </c>
      <c r="V28" s="8">
        <v>118</v>
      </c>
      <c r="W28" s="8">
        <v>92</v>
      </c>
      <c r="X28" s="8">
        <v>79</v>
      </c>
      <c r="Y28" s="8">
        <v>99</v>
      </c>
    </row>
    <row r="29" spans="1:25" x14ac:dyDescent="0.2">
      <c r="A29" s="9" t="s">
        <v>7</v>
      </c>
      <c r="B29" s="10">
        <f>B28*POWER(10,B27)*1000</f>
        <v>11200000000</v>
      </c>
      <c r="C29" s="10">
        <f t="shared" ref="C29:Y29" si="18">C28*POWER(10,C27)*1000</f>
        <v>13000000000</v>
      </c>
      <c r="D29" s="10">
        <f t="shared" si="18"/>
        <v>10600000000</v>
      </c>
      <c r="E29" s="10">
        <f>E28*POWER(10,E27)*1000</f>
        <v>8700000000</v>
      </c>
      <c r="F29" s="10">
        <f>F28*POWER(10,F27)*1000</f>
        <v>10000000000</v>
      </c>
      <c r="G29" s="10">
        <f>G28*POWER(10,G27)*1000</f>
        <v>8000000000</v>
      </c>
      <c r="H29" s="10">
        <f t="shared" si="18"/>
        <v>12400000000</v>
      </c>
      <c r="I29" s="10">
        <f t="shared" si="18"/>
        <v>11500000000</v>
      </c>
      <c r="J29" s="10">
        <f t="shared" si="18"/>
        <v>11100000000</v>
      </c>
      <c r="K29" s="10">
        <f t="shared" si="18"/>
        <v>8600000000</v>
      </c>
      <c r="L29" s="10">
        <f t="shared" si="18"/>
        <v>7700000000</v>
      </c>
      <c r="M29" s="10">
        <f t="shared" si="18"/>
        <v>7100000000</v>
      </c>
      <c r="N29" s="10">
        <f t="shared" si="18"/>
        <v>12200000000</v>
      </c>
      <c r="O29" s="10">
        <f t="shared" si="18"/>
        <v>9900000000</v>
      </c>
      <c r="P29" s="10">
        <f t="shared" si="18"/>
        <v>11000000000</v>
      </c>
      <c r="Q29" s="10">
        <f t="shared" si="18"/>
        <v>9200000000</v>
      </c>
      <c r="R29" s="10">
        <f t="shared" si="18"/>
        <v>9800000000</v>
      </c>
      <c r="S29" s="10">
        <f t="shared" si="18"/>
        <v>8700000000</v>
      </c>
      <c r="T29" s="10">
        <f t="shared" si="18"/>
        <v>9600000000</v>
      </c>
      <c r="U29" s="10">
        <f t="shared" si="18"/>
        <v>9900000000</v>
      </c>
      <c r="V29" s="10">
        <f t="shared" si="18"/>
        <v>11800000000</v>
      </c>
      <c r="W29" s="10">
        <f t="shared" si="18"/>
        <v>9200000000</v>
      </c>
      <c r="X29" s="10">
        <f t="shared" si="18"/>
        <v>7900000000</v>
      </c>
      <c r="Y29" s="10">
        <f t="shared" si="18"/>
        <v>9900000000</v>
      </c>
    </row>
    <row r="30" spans="1:25" x14ac:dyDescent="0.2">
      <c r="A30" s="11" t="s">
        <v>8</v>
      </c>
      <c r="B30" s="12">
        <v>5</v>
      </c>
      <c r="C30" s="12">
        <v>5</v>
      </c>
      <c r="D30" s="12">
        <v>5</v>
      </c>
      <c r="E30" s="12">
        <v>5</v>
      </c>
      <c r="F30" s="12">
        <v>5</v>
      </c>
      <c r="G30" s="12">
        <v>5</v>
      </c>
      <c r="H30" s="12">
        <v>5</v>
      </c>
      <c r="I30" s="12">
        <v>5</v>
      </c>
      <c r="J30" s="12">
        <v>5</v>
      </c>
      <c r="K30" s="12">
        <v>5</v>
      </c>
      <c r="L30" s="12">
        <v>5</v>
      </c>
      <c r="M30" s="12">
        <v>5</v>
      </c>
      <c r="N30" s="12">
        <v>5</v>
      </c>
      <c r="O30" s="12">
        <v>5</v>
      </c>
      <c r="P30" s="12">
        <v>5</v>
      </c>
      <c r="Q30" s="12">
        <v>5</v>
      </c>
      <c r="R30" s="12">
        <v>5</v>
      </c>
      <c r="S30" s="12">
        <v>5</v>
      </c>
      <c r="T30" s="12"/>
      <c r="U30" s="12"/>
      <c r="V30" s="12"/>
      <c r="W30" s="12"/>
      <c r="X30" s="12"/>
      <c r="Y30" s="12"/>
    </row>
    <row r="31" spans="1:25" x14ac:dyDescent="0.2">
      <c r="A31" s="11" t="s">
        <v>23</v>
      </c>
      <c r="B31" s="12">
        <v>35</v>
      </c>
      <c r="C31" s="12">
        <v>32</v>
      </c>
      <c r="D31" s="12">
        <v>43</v>
      </c>
      <c r="E31" s="12">
        <v>74</v>
      </c>
      <c r="F31" s="12">
        <v>75</v>
      </c>
      <c r="G31" s="12">
        <v>68</v>
      </c>
      <c r="H31" s="12">
        <v>46</v>
      </c>
      <c r="I31" s="12">
        <v>44</v>
      </c>
      <c r="J31" s="12">
        <v>39</v>
      </c>
      <c r="K31" s="12">
        <v>63</v>
      </c>
      <c r="L31" s="12">
        <v>64</v>
      </c>
      <c r="M31" s="12">
        <v>60</v>
      </c>
      <c r="N31" s="12">
        <v>24</v>
      </c>
      <c r="O31" s="12">
        <v>36</v>
      </c>
      <c r="P31" s="12">
        <v>31</v>
      </c>
      <c r="Q31" s="12">
        <v>48</v>
      </c>
      <c r="R31" s="12">
        <v>46</v>
      </c>
      <c r="S31" s="12">
        <v>51</v>
      </c>
      <c r="T31" s="12"/>
      <c r="U31" s="12"/>
      <c r="V31" s="12"/>
      <c r="W31" s="12"/>
      <c r="X31" s="12"/>
      <c r="Y31" s="12"/>
    </row>
    <row r="32" spans="1:25" x14ac:dyDescent="0.2">
      <c r="A32" s="11" t="s">
        <v>7</v>
      </c>
      <c r="B32" s="13">
        <f>B31*POWER(10,B30)*1000</f>
        <v>3500000000</v>
      </c>
      <c r="C32" s="13">
        <f t="shared" ref="C32:N32" si="19">C31*POWER(10,C30)*1000</f>
        <v>3200000000</v>
      </c>
      <c r="D32" s="13">
        <f t="shared" si="19"/>
        <v>4300000000</v>
      </c>
      <c r="E32" s="13">
        <f>E31*POWER(10,E30)*1000</f>
        <v>7400000000</v>
      </c>
      <c r="F32" s="13">
        <f>F31*POWER(10,F30)*1000</f>
        <v>7500000000</v>
      </c>
      <c r="G32" s="13">
        <f>G31*POWER(10,G30)*1000</f>
        <v>6800000000</v>
      </c>
      <c r="H32" s="13">
        <f t="shared" si="19"/>
        <v>4600000000</v>
      </c>
      <c r="I32" s="13">
        <f t="shared" si="19"/>
        <v>4400000000</v>
      </c>
      <c r="J32" s="13">
        <f t="shared" si="19"/>
        <v>3900000000</v>
      </c>
      <c r="K32" s="13">
        <f t="shared" si="19"/>
        <v>6300000000</v>
      </c>
      <c r="L32" s="13">
        <f t="shared" si="19"/>
        <v>6400000000</v>
      </c>
      <c r="M32" s="13">
        <f t="shared" si="19"/>
        <v>6000000000</v>
      </c>
      <c r="N32" s="13">
        <f t="shared" si="19"/>
        <v>2400000000</v>
      </c>
      <c r="O32" s="13">
        <f t="shared" ref="O32:Y32" si="20">O31*POWER(10,O30)*1000</f>
        <v>3600000000</v>
      </c>
      <c r="P32" s="13">
        <f t="shared" si="20"/>
        <v>3100000000</v>
      </c>
      <c r="Q32" s="13">
        <f t="shared" si="20"/>
        <v>4800000000</v>
      </c>
      <c r="R32" s="13">
        <f t="shared" si="20"/>
        <v>4600000000</v>
      </c>
      <c r="S32" s="13">
        <f t="shared" si="20"/>
        <v>5100000000</v>
      </c>
      <c r="T32" s="13">
        <f t="shared" si="20"/>
        <v>0</v>
      </c>
      <c r="U32" s="13">
        <f t="shared" si="20"/>
        <v>0</v>
      </c>
      <c r="V32" s="13">
        <f t="shared" si="20"/>
        <v>0</v>
      </c>
      <c r="W32" s="13">
        <f t="shared" si="20"/>
        <v>0</v>
      </c>
      <c r="X32" s="13">
        <f t="shared" si="20"/>
        <v>0</v>
      </c>
      <c r="Y32" s="13">
        <f t="shared" si="20"/>
        <v>0</v>
      </c>
    </row>
    <row r="33" spans="1:25" x14ac:dyDescent="0.2">
      <c r="A33" s="14" t="s">
        <v>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">
      <c r="A34" s="14" t="s">
        <v>10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2">
      <c r="A35" s="17" t="s">
        <v>11</v>
      </c>
      <c r="B35" s="18">
        <f>LOG(B32)</f>
        <v>9.5440680443502757</v>
      </c>
      <c r="C35" s="18">
        <f t="shared" ref="C35:S35" si="21">LOG(C32)</f>
        <v>9.5051499783199063</v>
      </c>
      <c r="D35" s="18">
        <f t="shared" si="21"/>
        <v>9.6334684555795871</v>
      </c>
      <c r="E35" s="18">
        <f>LOG(E32)</f>
        <v>9.8692317197309762</v>
      </c>
      <c r="F35" s="18">
        <f>LOG(F32)</f>
        <v>9.8750612633917001</v>
      </c>
      <c r="G35" s="18">
        <f>LOG(G32)</f>
        <v>9.8325089127062366</v>
      </c>
      <c r="H35" s="18">
        <f t="shared" si="21"/>
        <v>9.6627578316815743</v>
      </c>
      <c r="I35" s="18">
        <f t="shared" si="21"/>
        <v>9.6434526764861879</v>
      </c>
      <c r="J35" s="18">
        <f t="shared" si="21"/>
        <v>9.5910646070264995</v>
      </c>
      <c r="K35" s="18">
        <f t="shared" si="21"/>
        <v>9.7993405494535821</v>
      </c>
      <c r="L35" s="18">
        <f t="shared" si="21"/>
        <v>9.8061799739838875</v>
      </c>
      <c r="M35" s="18">
        <f t="shared" si="21"/>
        <v>9.7781512503836439</v>
      </c>
      <c r="N35" s="18">
        <f t="shared" si="21"/>
        <v>9.3802112417116064</v>
      </c>
      <c r="O35" s="18">
        <f t="shared" si="21"/>
        <v>9.5563025007672877</v>
      </c>
      <c r="P35" s="18">
        <f t="shared" si="21"/>
        <v>9.4913616938342731</v>
      </c>
      <c r="Q35" s="18">
        <f t="shared" si="21"/>
        <v>9.6812412373755876</v>
      </c>
      <c r="R35" s="18">
        <f t="shared" si="21"/>
        <v>9.6627578316815743</v>
      </c>
      <c r="S35" s="18">
        <f t="shared" si="21"/>
        <v>9.7075701760979367</v>
      </c>
      <c r="T35" s="18" t="e">
        <f t="shared" ref="T35:Y35" si="22">LOG(T32)</f>
        <v>#NUM!</v>
      </c>
      <c r="U35" s="18" t="e">
        <f t="shared" si="22"/>
        <v>#NUM!</v>
      </c>
      <c r="V35" s="18" t="e">
        <f t="shared" si="22"/>
        <v>#NUM!</v>
      </c>
      <c r="W35" s="18" t="e">
        <f t="shared" si="22"/>
        <v>#NUM!</v>
      </c>
      <c r="X35" s="18" t="e">
        <f t="shared" si="22"/>
        <v>#NUM!</v>
      </c>
      <c r="Y35" s="18" t="e">
        <f t="shared" si="22"/>
        <v>#NUM!</v>
      </c>
    </row>
    <row r="36" spans="1:25" x14ac:dyDescent="0.2">
      <c r="A36" s="17" t="s">
        <v>12</v>
      </c>
      <c r="B36" s="19">
        <f>LOG(B29)</f>
        <v>10.049218022670182</v>
      </c>
      <c r="C36" s="19">
        <f t="shared" ref="C36:Y36" si="23">LOG(C29)</f>
        <v>10.113943352306837</v>
      </c>
      <c r="D36" s="19">
        <f t="shared" si="23"/>
        <v>10.02530586526477</v>
      </c>
      <c r="E36" s="19">
        <f>LOG(E29)</f>
        <v>9.9395192526186182</v>
      </c>
      <c r="F36" s="19">
        <f>LOG(F29)</f>
        <v>10</v>
      </c>
      <c r="G36" s="19">
        <f>LOG(G29)</f>
        <v>9.9030899869919438</v>
      </c>
      <c r="H36" s="19">
        <f t="shared" si="23"/>
        <v>10.093421685162236</v>
      </c>
      <c r="I36" s="19">
        <f t="shared" si="23"/>
        <v>10.060697840353612</v>
      </c>
      <c r="J36" s="19">
        <f t="shared" si="23"/>
        <v>10.045322978786658</v>
      </c>
      <c r="K36" s="19">
        <f t="shared" si="23"/>
        <v>9.9344984512435683</v>
      </c>
      <c r="L36" s="19">
        <f t="shared" si="23"/>
        <v>9.8864907251724823</v>
      </c>
      <c r="M36" s="19">
        <f t="shared" si="23"/>
        <v>9.8512583487190746</v>
      </c>
      <c r="N36" s="19">
        <f t="shared" si="23"/>
        <v>10.086359830674748</v>
      </c>
      <c r="O36" s="19">
        <f t="shared" si="23"/>
        <v>9.9956351945975506</v>
      </c>
      <c r="P36" s="19">
        <f t="shared" si="23"/>
        <v>10.041392685158225</v>
      </c>
      <c r="Q36" s="19">
        <f t="shared" si="23"/>
        <v>9.9637878273455556</v>
      </c>
      <c r="R36" s="19">
        <f t="shared" si="23"/>
        <v>9.9912260756924951</v>
      </c>
      <c r="S36" s="19">
        <f t="shared" si="23"/>
        <v>9.9395192526186182</v>
      </c>
      <c r="T36" s="19">
        <f t="shared" si="23"/>
        <v>9.9822712330395689</v>
      </c>
      <c r="U36" s="19">
        <f t="shared" si="23"/>
        <v>9.9956351945975506</v>
      </c>
      <c r="V36" s="19">
        <f t="shared" si="23"/>
        <v>10.071882007306126</v>
      </c>
      <c r="W36" s="19">
        <f t="shared" si="23"/>
        <v>9.9637878273455556</v>
      </c>
      <c r="X36" s="19">
        <f t="shared" si="23"/>
        <v>9.8976270912904418</v>
      </c>
      <c r="Y36" s="19">
        <f t="shared" si="23"/>
        <v>9.9956351945975506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DF4F-FEAE-4D77-B158-964D306B4CAA}">
  <dimension ref="A1:Y37"/>
  <sheetViews>
    <sheetView zoomScale="84" zoomScaleNormal="84" workbookViewId="0">
      <selection activeCell="S39" sqref="S39"/>
    </sheetView>
  </sheetViews>
  <sheetFormatPr defaultColWidth="8.875" defaultRowHeight="16.5" x14ac:dyDescent="0.25"/>
  <cols>
    <col min="1" max="1" width="18.625" customWidth="1"/>
    <col min="2" max="25" width="16.875" bestFit="1" customWidth="1"/>
  </cols>
  <sheetData>
    <row r="1" spans="1:2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21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</row>
    <row r="3" spans="1:25" x14ac:dyDescent="0.2">
      <c r="A3" s="7" t="s">
        <v>6</v>
      </c>
      <c r="B3" s="8">
        <v>6</v>
      </c>
      <c r="C3" s="8">
        <v>6</v>
      </c>
      <c r="D3" s="8">
        <v>6</v>
      </c>
      <c r="E3" s="8">
        <v>6</v>
      </c>
      <c r="F3" s="8">
        <v>6</v>
      </c>
      <c r="G3" s="8">
        <v>6</v>
      </c>
      <c r="H3" s="8">
        <v>6</v>
      </c>
      <c r="I3" s="8">
        <v>6</v>
      </c>
      <c r="J3" s="8">
        <v>6</v>
      </c>
      <c r="K3" s="8">
        <v>6</v>
      </c>
      <c r="L3" s="8">
        <v>6</v>
      </c>
      <c r="M3" s="8">
        <v>6</v>
      </c>
      <c r="N3" s="8">
        <v>6</v>
      </c>
      <c r="O3" s="8">
        <v>6</v>
      </c>
      <c r="P3" s="8">
        <v>6</v>
      </c>
      <c r="Q3" s="8">
        <v>6</v>
      </c>
      <c r="R3" s="8">
        <v>6</v>
      </c>
      <c r="S3" s="8">
        <v>6</v>
      </c>
      <c r="T3" s="8">
        <v>6</v>
      </c>
      <c r="U3" s="8">
        <v>6</v>
      </c>
      <c r="V3" s="8">
        <v>6</v>
      </c>
      <c r="W3" s="8">
        <v>6</v>
      </c>
      <c r="X3" s="8">
        <v>6</v>
      </c>
      <c r="Y3" s="8">
        <v>6</v>
      </c>
    </row>
    <row r="4" spans="1:25" x14ac:dyDescent="0.2">
      <c r="A4" s="7" t="s">
        <v>22</v>
      </c>
      <c r="B4" s="8">
        <v>71</v>
      </c>
      <c r="C4" s="8">
        <v>49</v>
      </c>
      <c r="D4" s="8">
        <v>63</v>
      </c>
      <c r="E4" s="8">
        <v>57</v>
      </c>
      <c r="F4" s="8">
        <v>55</v>
      </c>
      <c r="G4" s="8">
        <v>56</v>
      </c>
      <c r="H4" s="8">
        <v>88</v>
      </c>
      <c r="I4" s="8">
        <v>82</v>
      </c>
      <c r="J4" s="8">
        <v>102</v>
      </c>
      <c r="K4" s="8">
        <v>81</v>
      </c>
      <c r="L4" s="8">
        <v>65</v>
      </c>
      <c r="M4" s="8">
        <v>82</v>
      </c>
      <c r="N4" s="8">
        <v>93</v>
      </c>
      <c r="O4" s="8">
        <v>93</v>
      </c>
      <c r="P4" s="8">
        <v>76</v>
      </c>
      <c r="Q4" s="8">
        <v>95</v>
      </c>
      <c r="R4" s="8">
        <v>89</v>
      </c>
      <c r="S4" s="8">
        <v>76</v>
      </c>
      <c r="T4" s="8">
        <v>121</v>
      </c>
      <c r="U4" s="8">
        <v>118</v>
      </c>
      <c r="V4" s="8">
        <v>129</v>
      </c>
      <c r="W4" s="8">
        <v>69</v>
      </c>
      <c r="X4" s="8">
        <v>71</v>
      </c>
      <c r="Y4" s="8">
        <v>57</v>
      </c>
    </row>
    <row r="5" spans="1:25" x14ac:dyDescent="0.2">
      <c r="A5" s="9" t="s">
        <v>7</v>
      </c>
      <c r="B5" s="10">
        <f>B4*40*POWER(10,B3)*1000</f>
        <v>2840000000000</v>
      </c>
      <c r="C5" s="10">
        <f t="shared" ref="C5:Y5" si="0">C4*40*POWER(10,C3)*1000</f>
        <v>1960000000000</v>
      </c>
      <c r="D5" s="10">
        <f t="shared" si="0"/>
        <v>2520000000000</v>
      </c>
      <c r="E5" s="10">
        <f t="shared" ref="E5:M5" si="1">E4*40*POWER(10,E3)*1000</f>
        <v>2280000000000</v>
      </c>
      <c r="F5" s="10">
        <f t="shared" si="1"/>
        <v>2200000000000</v>
      </c>
      <c r="G5" s="10">
        <f t="shared" si="1"/>
        <v>2240000000000</v>
      </c>
      <c r="H5" s="10">
        <f t="shared" si="1"/>
        <v>3520000000000</v>
      </c>
      <c r="I5" s="10">
        <f t="shared" si="1"/>
        <v>3280000000000</v>
      </c>
      <c r="J5" s="10">
        <f t="shared" si="1"/>
        <v>4080000000000</v>
      </c>
      <c r="K5" s="10">
        <f t="shared" si="1"/>
        <v>3240000000000</v>
      </c>
      <c r="L5" s="10">
        <f t="shared" si="1"/>
        <v>2600000000000</v>
      </c>
      <c r="M5" s="10">
        <f t="shared" si="1"/>
        <v>3280000000000</v>
      </c>
      <c r="N5" s="10">
        <f t="shared" si="0"/>
        <v>3720000000000</v>
      </c>
      <c r="O5" s="10">
        <f t="shared" si="0"/>
        <v>3720000000000</v>
      </c>
      <c r="P5" s="10">
        <f t="shared" si="0"/>
        <v>3040000000000</v>
      </c>
      <c r="Q5" s="10">
        <f t="shared" si="0"/>
        <v>3800000000000</v>
      </c>
      <c r="R5" s="10">
        <f t="shared" si="0"/>
        <v>3560000000000</v>
      </c>
      <c r="S5" s="10">
        <f t="shared" si="0"/>
        <v>3040000000000</v>
      </c>
      <c r="T5" s="10">
        <f t="shared" si="0"/>
        <v>4840000000000</v>
      </c>
      <c r="U5" s="10">
        <f t="shared" si="0"/>
        <v>4720000000000</v>
      </c>
      <c r="V5" s="10">
        <f t="shared" si="0"/>
        <v>5160000000000</v>
      </c>
      <c r="W5" s="10">
        <f t="shared" si="0"/>
        <v>2760000000000</v>
      </c>
      <c r="X5" s="10">
        <f t="shared" si="0"/>
        <v>2840000000000</v>
      </c>
      <c r="Y5" s="10">
        <f t="shared" si="0"/>
        <v>2280000000000</v>
      </c>
    </row>
    <row r="6" spans="1:25" x14ac:dyDescent="0.2">
      <c r="A6" s="11" t="s">
        <v>8</v>
      </c>
      <c r="B6" s="12">
        <v>5</v>
      </c>
      <c r="C6" s="12">
        <v>5</v>
      </c>
      <c r="D6" s="12">
        <v>5</v>
      </c>
      <c r="E6" s="12">
        <v>5</v>
      </c>
      <c r="F6" s="12">
        <v>5</v>
      </c>
      <c r="G6" s="12">
        <v>5</v>
      </c>
      <c r="H6" s="12">
        <v>4</v>
      </c>
      <c r="I6" s="12">
        <v>4</v>
      </c>
      <c r="J6" s="12">
        <v>4</v>
      </c>
      <c r="K6" s="12">
        <v>4</v>
      </c>
      <c r="L6" s="12">
        <v>4</v>
      </c>
      <c r="M6" s="12">
        <v>4</v>
      </c>
      <c r="N6" s="12">
        <v>4</v>
      </c>
      <c r="O6" s="12">
        <v>4</v>
      </c>
      <c r="P6" s="12">
        <v>4</v>
      </c>
      <c r="Q6" s="12">
        <v>3</v>
      </c>
      <c r="R6" s="12">
        <v>3</v>
      </c>
      <c r="S6" s="12">
        <v>3</v>
      </c>
      <c r="T6" s="12">
        <v>4</v>
      </c>
      <c r="U6" s="12">
        <v>4</v>
      </c>
      <c r="V6" s="12">
        <v>4</v>
      </c>
      <c r="W6" s="12">
        <v>4</v>
      </c>
      <c r="X6" s="12">
        <v>4</v>
      </c>
      <c r="Y6" s="12">
        <v>4</v>
      </c>
    </row>
    <row r="7" spans="1:25" x14ac:dyDescent="0.2">
      <c r="A7" s="11" t="s">
        <v>23</v>
      </c>
      <c r="B7" s="12">
        <v>52</v>
      </c>
      <c r="C7" s="12">
        <v>40</v>
      </c>
      <c r="D7" s="12">
        <v>57</v>
      </c>
      <c r="E7" s="12">
        <v>57</v>
      </c>
      <c r="F7" s="12">
        <v>64</v>
      </c>
      <c r="G7" s="12">
        <v>60</v>
      </c>
      <c r="H7" s="12">
        <v>68</v>
      </c>
      <c r="I7" s="12">
        <v>74</v>
      </c>
      <c r="J7" s="12">
        <v>57</v>
      </c>
      <c r="K7" s="12">
        <v>44</v>
      </c>
      <c r="L7" s="12">
        <v>65</v>
      </c>
      <c r="M7" s="12">
        <v>36</v>
      </c>
      <c r="N7" s="12">
        <v>17</v>
      </c>
      <c r="O7" s="12">
        <v>17</v>
      </c>
      <c r="P7" s="12">
        <v>16</v>
      </c>
      <c r="Q7" s="12">
        <v>67</v>
      </c>
      <c r="R7" s="12">
        <v>64</v>
      </c>
      <c r="S7" s="12">
        <v>69</v>
      </c>
      <c r="T7" s="12">
        <v>33</v>
      </c>
      <c r="U7" s="12">
        <v>37</v>
      </c>
      <c r="V7" s="12">
        <v>52</v>
      </c>
      <c r="W7" s="12">
        <v>59</v>
      </c>
      <c r="X7" s="12">
        <v>56</v>
      </c>
      <c r="Y7" s="12">
        <v>41</v>
      </c>
    </row>
    <row r="8" spans="1:25" x14ac:dyDescent="0.2">
      <c r="A8" s="11" t="s">
        <v>7</v>
      </c>
      <c r="B8" s="13">
        <f>B7*40*POWER(10,B6)*1000</f>
        <v>208000000000</v>
      </c>
      <c r="C8" s="13">
        <f t="shared" ref="C8:Y8" si="2">C7*40*POWER(10,C6)*1000</f>
        <v>160000000000</v>
      </c>
      <c r="D8" s="13">
        <f t="shared" si="2"/>
        <v>228000000000</v>
      </c>
      <c r="E8" s="13">
        <f t="shared" ref="E8:M8" si="3">E7*40*POWER(10,E6)*1000</f>
        <v>228000000000</v>
      </c>
      <c r="F8" s="13">
        <f t="shared" si="3"/>
        <v>256000000000</v>
      </c>
      <c r="G8" s="13">
        <f t="shared" si="3"/>
        <v>240000000000</v>
      </c>
      <c r="H8" s="13">
        <f t="shared" si="3"/>
        <v>27200000000</v>
      </c>
      <c r="I8" s="13">
        <f t="shared" si="3"/>
        <v>29600000000</v>
      </c>
      <c r="J8" s="13">
        <f t="shared" si="3"/>
        <v>22800000000</v>
      </c>
      <c r="K8" s="13">
        <f t="shared" si="3"/>
        <v>17600000000</v>
      </c>
      <c r="L8" s="13">
        <f t="shared" si="3"/>
        <v>26000000000</v>
      </c>
      <c r="M8" s="13">
        <f t="shared" si="3"/>
        <v>14400000000</v>
      </c>
      <c r="N8" s="13">
        <f t="shared" si="2"/>
        <v>6800000000</v>
      </c>
      <c r="O8" s="13">
        <f t="shared" si="2"/>
        <v>6800000000</v>
      </c>
      <c r="P8" s="13">
        <f t="shared" si="2"/>
        <v>6400000000</v>
      </c>
      <c r="Q8" s="13">
        <f t="shared" si="2"/>
        <v>2680000000</v>
      </c>
      <c r="R8" s="13">
        <f t="shared" si="2"/>
        <v>2560000000</v>
      </c>
      <c r="S8" s="13">
        <f t="shared" si="2"/>
        <v>2760000000</v>
      </c>
      <c r="T8" s="13">
        <f t="shared" si="2"/>
        <v>13200000000</v>
      </c>
      <c r="U8" s="13">
        <f t="shared" si="2"/>
        <v>14800000000</v>
      </c>
      <c r="V8" s="13">
        <f t="shared" si="2"/>
        <v>20800000000</v>
      </c>
      <c r="W8" s="13">
        <f t="shared" si="2"/>
        <v>23600000000</v>
      </c>
      <c r="X8" s="13">
        <f t="shared" si="2"/>
        <v>22400000000</v>
      </c>
      <c r="Y8" s="13">
        <f t="shared" si="2"/>
        <v>16400000000</v>
      </c>
    </row>
    <row r="9" spans="1:25" x14ac:dyDescent="0.2">
      <c r="A9" s="14" t="s">
        <v>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">
      <c r="A10" s="14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x14ac:dyDescent="0.2">
      <c r="A11" s="17" t="s">
        <v>11</v>
      </c>
      <c r="B11" s="18">
        <f>LOG(B8)</f>
        <v>11.318063334962762</v>
      </c>
      <c r="C11" s="18">
        <f t="shared" ref="C11:S11" si="4">LOG(C8)</f>
        <v>11.204119982655925</v>
      </c>
      <c r="D11" s="18">
        <f t="shared" si="4"/>
        <v>11.357934847000454</v>
      </c>
      <c r="E11" s="18">
        <f t="shared" ref="E11:M11" si="5">LOG(E8)</f>
        <v>11.357934847000454</v>
      </c>
      <c r="F11" s="18">
        <f t="shared" si="5"/>
        <v>11.40823996531185</v>
      </c>
      <c r="G11" s="18">
        <f t="shared" si="5"/>
        <v>11.380211241711606</v>
      </c>
      <c r="H11" s="18">
        <f t="shared" si="5"/>
        <v>10.434568904034199</v>
      </c>
      <c r="I11" s="18">
        <f t="shared" si="5"/>
        <v>10.471291711058939</v>
      </c>
      <c r="J11" s="18">
        <f t="shared" si="5"/>
        <v>10.357934847000454</v>
      </c>
      <c r="K11" s="18">
        <f t="shared" si="5"/>
        <v>10.24551266781415</v>
      </c>
      <c r="L11" s="18">
        <f t="shared" si="5"/>
        <v>10.414973347970818</v>
      </c>
      <c r="M11" s="18">
        <f t="shared" si="5"/>
        <v>10.15836249209525</v>
      </c>
      <c r="N11" s="18">
        <f t="shared" si="4"/>
        <v>9.8325089127062366</v>
      </c>
      <c r="O11" s="18">
        <f t="shared" si="4"/>
        <v>9.8325089127062366</v>
      </c>
      <c r="P11" s="18">
        <f t="shared" si="4"/>
        <v>9.8061799739838875</v>
      </c>
      <c r="Q11" s="18">
        <f t="shared" si="4"/>
        <v>9.4281347940287894</v>
      </c>
      <c r="R11" s="18">
        <f t="shared" si="4"/>
        <v>9.40823996531185</v>
      </c>
      <c r="S11" s="18">
        <f t="shared" si="4"/>
        <v>9.4409090820652182</v>
      </c>
      <c r="T11" s="18">
        <f t="shared" ref="T11:Y11" si="6">LOG(T8)</f>
        <v>10.12057393120585</v>
      </c>
      <c r="U11" s="18">
        <f t="shared" si="6"/>
        <v>10.170261715394957</v>
      </c>
      <c r="V11" s="18">
        <f t="shared" si="6"/>
        <v>10.318063334962762</v>
      </c>
      <c r="W11" s="18">
        <f t="shared" si="6"/>
        <v>10.372912002970107</v>
      </c>
      <c r="X11" s="18">
        <f t="shared" si="6"/>
        <v>10.350248018334163</v>
      </c>
      <c r="Y11" s="18">
        <f t="shared" si="6"/>
        <v>10.214843848047698</v>
      </c>
    </row>
    <row r="12" spans="1:25" x14ac:dyDescent="0.2">
      <c r="A12" s="17" t="s">
        <v>12</v>
      </c>
      <c r="B12" s="19">
        <f>LOG(B5)</f>
        <v>12.453318340047037</v>
      </c>
      <c r="C12" s="19">
        <f t="shared" ref="C12:Y12" si="7">LOG(C5)</f>
        <v>12.292256071356476</v>
      </c>
      <c r="D12" s="19">
        <f t="shared" si="7"/>
        <v>12.401400540781545</v>
      </c>
      <c r="E12" s="19">
        <f t="shared" ref="E12:M12" si="8">LOG(E5)</f>
        <v>12.357934847000454</v>
      </c>
      <c r="F12" s="19">
        <f t="shared" si="8"/>
        <v>12.342422680822207</v>
      </c>
      <c r="G12" s="19">
        <f t="shared" si="8"/>
        <v>12.350248018334163</v>
      </c>
      <c r="H12" s="19">
        <f t="shared" si="8"/>
        <v>12.546542663478132</v>
      </c>
      <c r="I12" s="19">
        <f t="shared" si="8"/>
        <v>12.515873843711679</v>
      </c>
      <c r="J12" s="19">
        <f t="shared" si="8"/>
        <v>12.61066016308988</v>
      </c>
      <c r="K12" s="19">
        <f t="shared" si="8"/>
        <v>12.510545010206613</v>
      </c>
      <c r="L12" s="19">
        <f t="shared" si="8"/>
        <v>12.414973347970818</v>
      </c>
      <c r="M12" s="19">
        <f t="shared" si="8"/>
        <v>12.515873843711679</v>
      </c>
      <c r="N12" s="19">
        <f t="shared" si="7"/>
        <v>12.570542939881898</v>
      </c>
      <c r="O12" s="19">
        <f t="shared" si="7"/>
        <v>12.570542939881898</v>
      </c>
      <c r="P12" s="19">
        <f t="shared" si="7"/>
        <v>12.482873583608754</v>
      </c>
      <c r="Q12" s="19">
        <f t="shared" si="7"/>
        <v>12.57978359661681</v>
      </c>
      <c r="R12" s="19">
        <f t="shared" si="7"/>
        <v>12.551449997972876</v>
      </c>
      <c r="S12" s="19">
        <f t="shared" si="7"/>
        <v>12.482873583608754</v>
      </c>
      <c r="T12" s="19">
        <f t="shared" si="7"/>
        <v>12.684845361644413</v>
      </c>
      <c r="U12" s="19">
        <f t="shared" si="7"/>
        <v>12.673941998634088</v>
      </c>
      <c r="V12" s="19">
        <f t="shared" si="7"/>
        <v>12.712649701627212</v>
      </c>
      <c r="W12" s="19">
        <f t="shared" si="7"/>
        <v>12.440909082065218</v>
      </c>
      <c r="X12" s="19">
        <f t="shared" si="7"/>
        <v>12.453318340047037</v>
      </c>
      <c r="Y12" s="19">
        <f t="shared" si="7"/>
        <v>12.357934847000454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2" t="s">
        <v>21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5" t="s">
        <v>15</v>
      </c>
      <c r="O14" s="5" t="s">
        <v>15</v>
      </c>
      <c r="P14" s="5" t="s">
        <v>15</v>
      </c>
      <c r="Q14" s="5" t="s">
        <v>15</v>
      </c>
      <c r="R14" s="5" t="s">
        <v>15</v>
      </c>
      <c r="S14" s="5" t="s">
        <v>15</v>
      </c>
      <c r="T14" s="6" t="s">
        <v>16</v>
      </c>
      <c r="U14" s="6" t="s">
        <v>16</v>
      </c>
      <c r="V14" s="6" t="s">
        <v>16</v>
      </c>
      <c r="W14" s="6" t="s">
        <v>16</v>
      </c>
      <c r="X14" s="6" t="s">
        <v>16</v>
      </c>
      <c r="Y14" s="6" t="s">
        <v>16</v>
      </c>
    </row>
    <row r="15" spans="1:25" x14ac:dyDescent="0.2">
      <c r="A15" s="7" t="s">
        <v>6</v>
      </c>
      <c r="B15" s="8">
        <v>6</v>
      </c>
      <c r="C15" s="8">
        <v>6</v>
      </c>
      <c r="D15" s="8">
        <v>6</v>
      </c>
      <c r="E15" s="8">
        <v>6</v>
      </c>
      <c r="F15" s="8">
        <v>6</v>
      </c>
      <c r="G15" s="8">
        <v>6</v>
      </c>
      <c r="H15" s="8">
        <v>6</v>
      </c>
      <c r="I15" s="8">
        <v>6</v>
      </c>
      <c r="J15" s="8">
        <v>6</v>
      </c>
      <c r="K15" s="8">
        <v>6</v>
      </c>
      <c r="L15" s="8">
        <v>6</v>
      </c>
      <c r="M15" s="8">
        <v>6</v>
      </c>
      <c r="N15" s="8">
        <v>6</v>
      </c>
      <c r="O15" s="8">
        <v>6</v>
      </c>
      <c r="P15" s="8">
        <v>6</v>
      </c>
      <c r="Q15" s="8">
        <v>6</v>
      </c>
      <c r="R15" s="8">
        <v>6</v>
      </c>
      <c r="S15" s="8">
        <v>6</v>
      </c>
      <c r="T15" s="8">
        <v>6</v>
      </c>
      <c r="U15" s="8">
        <v>6</v>
      </c>
      <c r="V15" s="8">
        <v>6</v>
      </c>
      <c r="W15" s="8">
        <v>6</v>
      </c>
      <c r="X15" s="8">
        <v>6</v>
      </c>
      <c r="Y15" s="8">
        <v>6</v>
      </c>
    </row>
    <row r="16" spans="1:25" x14ac:dyDescent="0.2">
      <c r="A16" s="7" t="s">
        <v>22</v>
      </c>
      <c r="B16" s="8">
        <v>70</v>
      </c>
      <c r="C16" s="8">
        <v>85</v>
      </c>
      <c r="D16" s="8">
        <v>71</v>
      </c>
      <c r="E16" s="8">
        <v>82</v>
      </c>
      <c r="F16" s="8">
        <v>92</v>
      </c>
      <c r="G16" s="8">
        <v>79</v>
      </c>
      <c r="H16" s="8">
        <v>59</v>
      </c>
      <c r="I16" s="8">
        <v>41</v>
      </c>
      <c r="J16" s="8">
        <v>42</v>
      </c>
      <c r="K16" s="8">
        <v>60</v>
      </c>
      <c r="L16" s="8">
        <v>64</v>
      </c>
      <c r="M16" s="8">
        <v>52</v>
      </c>
      <c r="N16" s="8">
        <v>76</v>
      </c>
      <c r="O16" s="8">
        <v>53</v>
      </c>
      <c r="P16" s="8">
        <v>75</v>
      </c>
      <c r="Q16" s="8">
        <v>75</v>
      </c>
      <c r="R16" s="8">
        <v>62</v>
      </c>
      <c r="S16" s="8">
        <v>70</v>
      </c>
      <c r="T16" s="8">
        <v>100</v>
      </c>
      <c r="U16" s="8">
        <v>100</v>
      </c>
      <c r="V16" s="8">
        <v>110</v>
      </c>
      <c r="W16" s="8">
        <v>79</v>
      </c>
      <c r="X16" s="8">
        <v>102</v>
      </c>
      <c r="Y16" s="8">
        <v>61</v>
      </c>
    </row>
    <row r="17" spans="1:25" x14ac:dyDescent="0.2">
      <c r="A17" s="9" t="s">
        <v>7</v>
      </c>
      <c r="B17" s="10">
        <f t="shared" ref="B17:G17" si="9">B16*40*POWER(10,B15)*1000</f>
        <v>2800000000000</v>
      </c>
      <c r="C17" s="10">
        <f t="shared" si="9"/>
        <v>3400000000000</v>
      </c>
      <c r="D17" s="10">
        <f t="shared" si="9"/>
        <v>2840000000000</v>
      </c>
      <c r="E17" s="10">
        <f t="shared" si="9"/>
        <v>3280000000000</v>
      </c>
      <c r="F17" s="10">
        <f t="shared" si="9"/>
        <v>3680000000000</v>
      </c>
      <c r="G17" s="10">
        <f t="shared" si="9"/>
        <v>3160000000000</v>
      </c>
      <c r="H17" s="10">
        <f t="shared" ref="H17:M17" si="10">H16*40*POWER(10,H15)*1000</f>
        <v>2360000000000</v>
      </c>
      <c r="I17" s="10">
        <f t="shared" si="10"/>
        <v>1640000000000</v>
      </c>
      <c r="J17" s="10">
        <f t="shared" si="10"/>
        <v>1680000000000</v>
      </c>
      <c r="K17" s="10">
        <f t="shared" si="10"/>
        <v>2400000000000</v>
      </c>
      <c r="L17" s="10">
        <f t="shared" si="10"/>
        <v>2560000000000</v>
      </c>
      <c r="M17" s="10">
        <f t="shared" si="10"/>
        <v>2080000000000</v>
      </c>
      <c r="N17" s="10">
        <f t="shared" ref="N17:Y17" si="11">N16*40*POWER(10,N15)*1000</f>
        <v>3040000000000</v>
      </c>
      <c r="O17" s="10">
        <f t="shared" si="11"/>
        <v>2120000000000</v>
      </c>
      <c r="P17" s="10">
        <f t="shared" si="11"/>
        <v>3000000000000</v>
      </c>
      <c r="Q17" s="10">
        <f t="shared" si="11"/>
        <v>3000000000000</v>
      </c>
      <c r="R17" s="10">
        <f t="shared" si="11"/>
        <v>2480000000000</v>
      </c>
      <c r="S17" s="10">
        <f t="shared" si="11"/>
        <v>2800000000000</v>
      </c>
      <c r="T17" s="10">
        <f t="shared" si="11"/>
        <v>4000000000000</v>
      </c>
      <c r="U17" s="10">
        <f t="shared" si="11"/>
        <v>4000000000000</v>
      </c>
      <c r="V17" s="10">
        <f t="shared" si="11"/>
        <v>4400000000000</v>
      </c>
      <c r="W17" s="10">
        <f t="shared" si="11"/>
        <v>3160000000000</v>
      </c>
      <c r="X17" s="10">
        <f t="shared" si="11"/>
        <v>4080000000000</v>
      </c>
      <c r="Y17" s="10">
        <f t="shared" si="11"/>
        <v>2440000000000</v>
      </c>
    </row>
    <row r="18" spans="1:25" x14ac:dyDescent="0.2">
      <c r="A18" s="11" t="s">
        <v>8</v>
      </c>
      <c r="B18" s="12">
        <v>1</v>
      </c>
      <c r="C18" s="12">
        <v>1</v>
      </c>
      <c r="D18" s="12">
        <v>1</v>
      </c>
      <c r="E18" s="12">
        <v>2</v>
      </c>
      <c r="F18" s="12">
        <v>2</v>
      </c>
      <c r="G18" s="12">
        <v>2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4</v>
      </c>
      <c r="O18" s="12">
        <v>4</v>
      </c>
      <c r="P18" s="12">
        <v>4</v>
      </c>
      <c r="Q18" s="12">
        <v>3</v>
      </c>
      <c r="R18" s="12">
        <v>3</v>
      </c>
      <c r="S18" s="12">
        <v>3</v>
      </c>
      <c r="T18" s="12">
        <v>2</v>
      </c>
      <c r="U18" s="12">
        <v>2</v>
      </c>
      <c r="V18" s="12">
        <v>2</v>
      </c>
      <c r="W18" s="12">
        <v>1</v>
      </c>
      <c r="X18" s="12">
        <v>1</v>
      </c>
      <c r="Y18" s="12">
        <v>1</v>
      </c>
    </row>
    <row r="19" spans="1:25" x14ac:dyDescent="0.2">
      <c r="A19" s="11" t="s">
        <v>23</v>
      </c>
      <c r="B19" s="12">
        <v>29</v>
      </c>
      <c r="C19" s="12">
        <v>12</v>
      </c>
      <c r="D19" s="12">
        <v>18</v>
      </c>
      <c r="E19" s="12">
        <v>60</v>
      </c>
      <c r="F19" s="12">
        <v>58</v>
      </c>
      <c r="G19" s="12">
        <v>61</v>
      </c>
      <c r="H19" s="12">
        <v>149</v>
      </c>
      <c r="I19" s="12">
        <v>147</v>
      </c>
      <c r="J19" s="12">
        <v>136</v>
      </c>
      <c r="K19" s="12">
        <v>95</v>
      </c>
      <c r="L19" s="12">
        <v>84</v>
      </c>
      <c r="M19" s="12">
        <v>121</v>
      </c>
      <c r="N19" s="12">
        <v>9</v>
      </c>
      <c r="O19" s="12">
        <v>11</v>
      </c>
      <c r="P19" s="12">
        <v>5</v>
      </c>
      <c r="Q19" s="12">
        <v>114</v>
      </c>
      <c r="R19" s="12">
        <v>57</v>
      </c>
      <c r="S19" s="12">
        <v>69</v>
      </c>
      <c r="T19" s="12">
        <v>27</v>
      </c>
      <c r="U19" s="12">
        <v>19</v>
      </c>
      <c r="V19" s="12">
        <v>15</v>
      </c>
      <c r="W19" s="12">
        <v>8</v>
      </c>
      <c r="X19" s="12">
        <v>7</v>
      </c>
      <c r="Y19" s="12">
        <v>15</v>
      </c>
    </row>
    <row r="20" spans="1:25" x14ac:dyDescent="0.2">
      <c r="A20" s="11" t="s">
        <v>7</v>
      </c>
      <c r="B20" s="13">
        <f t="shared" ref="B20:G20" si="12">B19*40*POWER(10,B18)*1000</f>
        <v>11600000</v>
      </c>
      <c r="C20" s="13">
        <f t="shared" si="12"/>
        <v>4800000</v>
      </c>
      <c r="D20" s="13">
        <f t="shared" si="12"/>
        <v>7200000</v>
      </c>
      <c r="E20" s="13">
        <f t="shared" si="12"/>
        <v>240000000</v>
      </c>
      <c r="F20" s="13">
        <f t="shared" si="12"/>
        <v>232000000</v>
      </c>
      <c r="G20" s="13">
        <f t="shared" si="12"/>
        <v>244000000</v>
      </c>
      <c r="H20" s="13">
        <f t="shared" ref="H20:M20" si="13">H19*40*POWER(10,H18)*1000</f>
        <v>59600000</v>
      </c>
      <c r="I20" s="13">
        <f t="shared" si="13"/>
        <v>58800000</v>
      </c>
      <c r="J20" s="13">
        <f t="shared" si="13"/>
        <v>54400000</v>
      </c>
      <c r="K20" s="13">
        <f t="shared" si="13"/>
        <v>38000000</v>
      </c>
      <c r="L20" s="13">
        <f t="shared" si="13"/>
        <v>33600000</v>
      </c>
      <c r="M20" s="13">
        <f t="shared" si="13"/>
        <v>48400000</v>
      </c>
      <c r="N20" s="13">
        <f t="shared" ref="N20:Y20" si="14">N19*40*POWER(10,N18)*1000</f>
        <v>3600000000</v>
      </c>
      <c r="O20" s="13">
        <f t="shared" si="14"/>
        <v>4400000000</v>
      </c>
      <c r="P20" s="13">
        <f t="shared" si="14"/>
        <v>2000000000</v>
      </c>
      <c r="Q20" s="13">
        <f t="shared" si="14"/>
        <v>4560000000</v>
      </c>
      <c r="R20" s="13">
        <f t="shared" si="14"/>
        <v>2280000000</v>
      </c>
      <c r="S20" s="13">
        <f t="shared" si="14"/>
        <v>2760000000</v>
      </c>
      <c r="T20" s="13">
        <f t="shared" si="14"/>
        <v>108000000</v>
      </c>
      <c r="U20" s="13">
        <f t="shared" si="14"/>
        <v>76000000</v>
      </c>
      <c r="V20" s="13">
        <f t="shared" si="14"/>
        <v>60000000</v>
      </c>
      <c r="W20" s="13">
        <f t="shared" si="14"/>
        <v>3200000</v>
      </c>
      <c r="X20" s="13">
        <f t="shared" si="14"/>
        <v>2800000</v>
      </c>
      <c r="Y20" s="13">
        <f t="shared" si="14"/>
        <v>6000000</v>
      </c>
    </row>
    <row r="21" spans="1:25" x14ac:dyDescent="0.2">
      <c r="A21" s="14" t="s">
        <v>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">
      <c r="A22" s="14" t="s">
        <v>10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2">
      <c r="A23" s="17" t="s">
        <v>11</v>
      </c>
      <c r="B23" s="18">
        <f t="shared" ref="B23:G23" si="15">LOG(B20)</f>
        <v>7.0644579892269181</v>
      </c>
      <c r="C23" s="18">
        <f t="shared" si="15"/>
        <v>6.6812412373755876</v>
      </c>
      <c r="D23" s="18">
        <f t="shared" si="15"/>
        <v>6.8573324964312681</v>
      </c>
      <c r="E23" s="18">
        <f t="shared" si="15"/>
        <v>8.3802112417116064</v>
      </c>
      <c r="F23" s="18">
        <f t="shared" si="15"/>
        <v>8.3654879848908994</v>
      </c>
      <c r="G23" s="18">
        <f t="shared" si="15"/>
        <v>8.3873898263387296</v>
      </c>
      <c r="H23" s="18">
        <f t="shared" ref="H23:M23" si="16">LOG(H20)</f>
        <v>7.7752462597402365</v>
      </c>
      <c r="I23" s="18">
        <f t="shared" si="16"/>
        <v>7.7693773260761381</v>
      </c>
      <c r="J23" s="18">
        <f t="shared" si="16"/>
        <v>7.7355988996981795</v>
      </c>
      <c r="K23" s="18">
        <f t="shared" si="16"/>
        <v>7.5797835966168101</v>
      </c>
      <c r="L23" s="18">
        <f t="shared" si="16"/>
        <v>7.5263392773898437</v>
      </c>
      <c r="M23" s="18">
        <f t="shared" si="16"/>
        <v>7.6848453616444123</v>
      </c>
      <c r="N23" s="18">
        <f t="shared" ref="N23:S23" si="17">LOG(N20)</f>
        <v>9.5563025007672877</v>
      </c>
      <c r="O23" s="18">
        <f t="shared" si="17"/>
        <v>9.6434526764861879</v>
      </c>
      <c r="P23" s="18">
        <f t="shared" si="17"/>
        <v>9.3010299956639813</v>
      </c>
      <c r="Q23" s="18">
        <f t="shared" si="17"/>
        <v>9.6589648426644352</v>
      </c>
      <c r="R23" s="18">
        <f t="shared" si="17"/>
        <v>9.357934847000454</v>
      </c>
      <c r="S23" s="18">
        <f t="shared" si="17"/>
        <v>9.4409090820652182</v>
      </c>
      <c r="T23" s="18">
        <f t="shared" ref="T23:Y23" si="18">LOG(T20)</f>
        <v>8.0334237554869503</v>
      </c>
      <c r="U23" s="18">
        <f t="shared" si="18"/>
        <v>7.8808135922807914</v>
      </c>
      <c r="V23" s="18">
        <f t="shared" si="18"/>
        <v>7.7781512503836439</v>
      </c>
      <c r="W23" s="18">
        <f t="shared" si="18"/>
        <v>6.5051499783199063</v>
      </c>
      <c r="X23" s="18">
        <f t="shared" si="18"/>
        <v>6.4471580313422194</v>
      </c>
      <c r="Y23" s="18">
        <f t="shared" si="18"/>
        <v>6.7781512503836439</v>
      </c>
    </row>
    <row r="24" spans="1:25" x14ac:dyDescent="0.2">
      <c r="A24" s="17" t="s">
        <v>12</v>
      </c>
      <c r="B24" s="19">
        <f t="shared" ref="B24:G24" si="19">LOG(B17)</f>
        <v>12.447158031342219</v>
      </c>
      <c r="C24" s="19">
        <f t="shared" si="19"/>
        <v>12.531478917042255</v>
      </c>
      <c r="D24" s="19">
        <f t="shared" si="19"/>
        <v>12.453318340047037</v>
      </c>
      <c r="E24" s="19">
        <f t="shared" si="19"/>
        <v>12.515873843711679</v>
      </c>
      <c r="F24" s="19">
        <f t="shared" si="19"/>
        <v>12.565847818673518</v>
      </c>
      <c r="G24" s="19">
        <f t="shared" si="19"/>
        <v>12.499687082618404</v>
      </c>
      <c r="H24" s="19">
        <f t="shared" ref="H24:M24" si="20">LOG(H17)</f>
        <v>12.372912002970107</v>
      </c>
      <c r="I24" s="19">
        <f t="shared" si="20"/>
        <v>12.214843848047698</v>
      </c>
      <c r="J24" s="19">
        <f t="shared" si="20"/>
        <v>12.225309281725863</v>
      </c>
      <c r="K24" s="19">
        <f t="shared" si="20"/>
        <v>12.380211241711606</v>
      </c>
      <c r="L24" s="19">
        <f t="shared" si="20"/>
        <v>12.40823996531185</v>
      </c>
      <c r="M24" s="19">
        <f t="shared" si="20"/>
        <v>12.318063334962762</v>
      </c>
      <c r="N24" s="19">
        <f t="shared" ref="N24:Y24" si="21">LOG(N17)</f>
        <v>12.482873583608754</v>
      </c>
      <c r="O24" s="19">
        <f t="shared" si="21"/>
        <v>12.326335860928751</v>
      </c>
      <c r="P24" s="19">
        <f t="shared" si="21"/>
        <v>12.477121254719663</v>
      </c>
      <c r="Q24" s="19">
        <f t="shared" si="21"/>
        <v>12.477121254719663</v>
      </c>
      <c r="R24" s="19">
        <f t="shared" si="21"/>
        <v>12.394451680826217</v>
      </c>
      <c r="S24" s="19">
        <f t="shared" si="21"/>
        <v>12.447158031342219</v>
      </c>
      <c r="T24" s="19">
        <f t="shared" si="21"/>
        <v>12.602059991327963</v>
      </c>
      <c r="U24" s="19">
        <f t="shared" si="21"/>
        <v>12.602059991327963</v>
      </c>
      <c r="V24" s="19">
        <f t="shared" si="21"/>
        <v>12.643452676486188</v>
      </c>
      <c r="W24" s="19">
        <f t="shared" si="21"/>
        <v>12.499687082618404</v>
      </c>
      <c r="X24" s="19">
        <f t="shared" si="21"/>
        <v>12.61066016308988</v>
      </c>
      <c r="Y24" s="19">
        <f t="shared" si="21"/>
        <v>12.38738982633873</v>
      </c>
    </row>
    <row r="25" spans="1:25" x14ac:dyDescent="0.2">
      <c r="A25" s="17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2">
      <c r="A26" s="2" t="s">
        <v>21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  <c r="N26" s="5" t="s">
        <v>19</v>
      </c>
      <c r="O26" s="5" t="s">
        <v>19</v>
      </c>
      <c r="P26" s="5" t="s">
        <v>19</v>
      </c>
      <c r="Q26" s="5" t="s">
        <v>19</v>
      </c>
      <c r="R26" s="5" t="s">
        <v>19</v>
      </c>
      <c r="S26" s="5" t="s">
        <v>19</v>
      </c>
      <c r="T26" s="6" t="s">
        <v>20</v>
      </c>
      <c r="U26" s="6" t="s">
        <v>20</v>
      </c>
      <c r="V26" s="6" t="s">
        <v>20</v>
      </c>
      <c r="W26" s="6" t="s">
        <v>20</v>
      </c>
      <c r="X26" s="6" t="s">
        <v>20</v>
      </c>
      <c r="Y26" s="6" t="s">
        <v>20</v>
      </c>
    </row>
    <row r="27" spans="1:25" x14ac:dyDescent="0.2">
      <c r="A27" s="7" t="s">
        <v>6</v>
      </c>
      <c r="B27" s="8">
        <v>6</v>
      </c>
      <c r="C27" s="8">
        <v>6</v>
      </c>
      <c r="D27" s="8">
        <v>6</v>
      </c>
      <c r="E27" s="8">
        <v>6</v>
      </c>
      <c r="F27" s="8">
        <v>6</v>
      </c>
      <c r="G27" s="8">
        <v>6</v>
      </c>
      <c r="H27" s="8">
        <v>6</v>
      </c>
      <c r="I27" s="8">
        <v>6</v>
      </c>
      <c r="J27" s="8">
        <v>6</v>
      </c>
      <c r="K27" s="8">
        <v>6</v>
      </c>
      <c r="L27" s="8">
        <v>6</v>
      </c>
      <c r="M27" s="8">
        <v>6</v>
      </c>
      <c r="N27" s="8">
        <v>6</v>
      </c>
      <c r="O27" s="8">
        <v>6</v>
      </c>
      <c r="P27" s="8">
        <v>6</v>
      </c>
      <c r="Q27" s="8">
        <v>6</v>
      </c>
      <c r="R27" s="8">
        <v>6</v>
      </c>
      <c r="S27" s="8">
        <v>6</v>
      </c>
      <c r="T27" s="8">
        <v>6</v>
      </c>
      <c r="U27" s="8">
        <v>6</v>
      </c>
      <c r="V27" s="8">
        <v>6</v>
      </c>
      <c r="W27" s="8">
        <v>6</v>
      </c>
      <c r="X27" s="8">
        <v>6</v>
      </c>
      <c r="Y27" s="8">
        <v>6</v>
      </c>
    </row>
    <row r="28" spans="1:25" x14ac:dyDescent="0.2">
      <c r="A28" s="7" t="s">
        <v>22</v>
      </c>
      <c r="B28" s="8">
        <v>64</v>
      </c>
      <c r="C28" s="8">
        <v>54</v>
      </c>
      <c r="D28" s="8">
        <v>61</v>
      </c>
      <c r="E28" s="8">
        <v>65</v>
      </c>
      <c r="F28" s="8">
        <v>56</v>
      </c>
      <c r="G28" s="8">
        <v>65</v>
      </c>
      <c r="H28" s="8">
        <v>153</v>
      </c>
      <c r="I28" s="8">
        <v>112</v>
      </c>
      <c r="J28" s="8">
        <v>134</v>
      </c>
      <c r="K28" s="8">
        <v>73</v>
      </c>
      <c r="L28" s="8">
        <v>85</v>
      </c>
      <c r="M28" s="8">
        <v>75</v>
      </c>
      <c r="N28" s="8">
        <v>45</v>
      </c>
      <c r="O28" s="8">
        <v>56</v>
      </c>
      <c r="P28" s="8">
        <v>48</v>
      </c>
      <c r="Q28" s="8">
        <v>44</v>
      </c>
      <c r="R28" s="8">
        <v>52</v>
      </c>
      <c r="S28" s="8">
        <v>30</v>
      </c>
      <c r="T28" s="8">
        <v>118</v>
      </c>
      <c r="U28" s="8">
        <v>109</v>
      </c>
      <c r="V28" s="8">
        <v>111</v>
      </c>
      <c r="W28" s="8">
        <v>101</v>
      </c>
      <c r="X28" s="8">
        <v>92</v>
      </c>
      <c r="Y28" s="8">
        <v>82</v>
      </c>
    </row>
    <row r="29" spans="1:25" x14ac:dyDescent="0.2">
      <c r="A29" s="9" t="s">
        <v>7</v>
      </c>
      <c r="B29" s="10">
        <f>B28*40*POWER(10,B27)*1000</f>
        <v>2560000000000</v>
      </c>
      <c r="C29" s="10">
        <f t="shared" ref="C29:Y29" si="22">C28*40*POWER(10,C27)*1000</f>
        <v>2160000000000</v>
      </c>
      <c r="D29" s="10">
        <f t="shared" si="22"/>
        <v>2440000000000</v>
      </c>
      <c r="E29" s="10">
        <f>E28*40*POWER(10,E27)*1000</f>
        <v>2600000000000</v>
      </c>
      <c r="F29" s="10">
        <f>F28*40*POWER(10,F27)*1000</f>
        <v>2240000000000</v>
      </c>
      <c r="G29" s="10">
        <f>G28*40*POWER(10,G27)*1000</f>
        <v>2600000000000</v>
      </c>
      <c r="H29" s="10">
        <f t="shared" si="22"/>
        <v>6120000000000</v>
      </c>
      <c r="I29" s="10">
        <f t="shared" si="22"/>
        <v>4480000000000</v>
      </c>
      <c r="J29" s="10">
        <f t="shared" si="22"/>
        <v>5360000000000</v>
      </c>
      <c r="K29" s="10">
        <f t="shared" si="22"/>
        <v>2920000000000</v>
      </c>
      <c r="L29" s="10">
        <f t="shared" si="22"/>
        <v>3400000000000</v>
      </c>
      <c r="M29" s="10">
        <f t="shared" si="22"/>
        <v>3000000000000</v>
      </c>
      <c r="N29" s="10">
        <f t="shared" si="22"/>
        <v>1800000000000</v>
      </c>
      <c r="O29" s="10">
        <f t="shared" si="22"/>
        <v>2240000000000</v>
      </c>
      <c r="P29" s="10">
        <f t="shared" si="22"/>
        <v>1920000000000</v>
      </c>
      <c r="Q29" s="10">
        <f t="shared" si="22"/>
        <v>1760000000000</v>
      </c>
      <c r="R29" s="10">
        <f t="shared" si="22"/>
        <v>2080000000000</v>
      </c>
      <c r="S29" s="10">
        <f t="shared" si="22"/>
        <v>1200000000000</v>
      </c>
      <c r="T29" s="10">
        <f t="shared" si="22"/>
        <v>4720000000000</v>
      </c>
      <c r="U29" s="10">
        <f t="shared" si="22"/>
        <v>4360000000000</v>
      </c>
      <c r="V29" s="10">
        <f t="shared" si="22"/>
        <v>4440000000000</v>
      </c>
      <c r="W29" s="10">
        <f t="shared" si="22"/>
        <v>4040000000000</v>
      </c>
      <c r="X29" s="10">
        <f t="shared" si="22"/>
        <v>3680000000000</v>
      </c>
      <c r="Y29" s="10">
        <f t="shared" si="22"/>
        <v>3280000000000</v>
      </c>
    </row>
    <row r="30" spans="1:25" x14ac:dyDescent="0.2">
      <c r="A30" s="11" t="s">
        <v>8</v>
      </c>
      <c r="B30" s="12">
        <v>2</v>
      </c>
      <c r="C30" s="12">
        <v>2</v>
      </c>
      <c r="D30" s="12">
        <v>2</v>
      </c>
      <c r="E30" s="12">
        <v>2</v>
      </c>
      <c r="F30" s="12">
        <v>2</v>
      </c>
      <c r="G30" s="12">
        <v>2</v>
      </c>
      <c r="H30" s="12">
        <v>3</v>
      </c>
      <c r="I30" s="12">
        <v>3</v>
      </c>
      <c r="J30" s="12">
        <v>3</v>
      </c>
      <c r="K30" s="12">
        <v>3</v>
      </c>
      <c r="L30" s="12">
        <v>3</v>
      </c>
      <c r="M30" s="12">
        <v>3</v>
      </c>
      <c r="N30" s="12">
        <v>6</v>
      </c>
      <c r="O30" s="12">
        <v>6</v>
      </c>
      <c r="P30" s="12">
        <v>6</v>
      </c>
      <c r="Q30" s="12">
        <v>6</v>
      </c>
      <c r="R30" s="12">
        <v>6</v>
      </c>
      <c r="S30" s="12">
        <v>6</v>
      </c>
      <c r="T30" s="12"/>
      <c r="U30" s="12"/>
      <c r="V30" s="12"/>
      <c r="W30" s="12"/>
      <c r="X30" s="12"/>
      <c r="Y30" s="12"/>
    </row>
    <row r="31" spans="1:25" x14ac:dyDescent="0.2">
      <c r="A31" s="11" t="s">
        <v>23</v>
      </c>
      <c r="B31" s="12">
        <v>51</v>
      </c>
      <c r="C31" s="12">
        <v>37</v>
      </c>
      <c r="D31" s="12">
        <v>47</v>
      </c>
      <c r="E31" s="12">
        <v>12</v>
      </c>
      <c r="F31" s="12">
        <v>7</v>
      </c>
      <c r="G31" s="12">
        <v>7</v>
      </c>
      <c r="H31" s="12">
        <v>15</v>
      </c>
      <c r="I31" s="12">
        <v>10</v>
      </c>
      <c r="J31" s="12">
        <v>19</v>
      </c>
      <c r="K31" s="12">
        <v>20</v>
      </c>
      <c r="L31" s="12">
        <v>8</v>
      </c>
      <c r="M31" s="12">
        <v>19</v>
      </c>
      <c r="N31" s="12">
        <v>32</v>
      </c>
      <c r="O31" s="12">
        <v>31</v>
      </c>
      <c r="P31" s="12">
        <v>24</v>
      </c>
      <c r="Q31" s="12">
        <v>25</v>
      </c>
      <c r="R31" s="12">
        <v>22</v>
      </c>
      <c r="S31" s="12">
        <v>25</v>
      </c>
      <c r="T31" s="12"/>
      <c r="U31" s="12"/>
      <c r="V31" s="12"/>
      <c r="W31" s="12"/>
      <c r="X31" s="12"/>
      <c r="Y31" s="12"/>
    </row>
    <row r="32" spans="1:25" x14ac:dyDescent="0.2">
      <c r="A32" s="11" t="s">
        <v>7</v>
      </c>
      <c r="B32" s="13">
        <f>B31*40*POWER(10,B30)*1000</f>
        <v>204000000</v>
      </c>
      <c r="C32" s="13">
        <f t="shared" ref="C32:Y32" si="23">C31*40*POWER(10,C30)*1000</f>
        <v>148000000</v>
      </c>
      <c r="D32" s="13">
        <f t="shared" si="23"/>
        <v>188000000</v>
      </c>
      <c r="E32" s="13">
        <f>E31*40*POWER(10,E30)*1000</f>
        <v>48000000</v>
      </c>
      <c r="F32" s="13">
        <f>F31*40*POWER(10,F30)*1000</f>
        <v>28000000</v>
      </c>
      <c r="G32" s="13">
        <f>G31*40*POWER(10,G30)*1000</f>
        <v>28000000</v>
      </c>
      <c r="H32" s="13">
        <f t="shared" si="23"/>
        <v>600000000</v>
      </c>
      <c r="I32" s="13">
        <f t="shared" si="23"/>
        <v>400000000</v>
      </c>
      <c r="J32" s="13">
        <f t="shared" si="23"/>
        <v>760000000</v>
      </c>
      <c r="K32" s="13">
        <f t="shared" si="23"/>
        <v>800000000</v>
      </c>
      <c r="L32" s="13">
        <f t="shared" si="23"/>
        <v>320000000</v>
      </c>
      <c r="M32" s="13">
        <f t="shared" si="23"/>
        <v>760000000</v>
      </c>
      <c r="N32" s="13">
        <f t="shared" si="23"/>
        <v>1280000000000</v>
      </c>
      <c r="O32" s="13">
        <f t="shared" si="23"/>
        <v>1240000000000</v>
      </c>
      <c r="P32" s="13">
        <f t="shared" si="23"/>
        <v>960000000000</v>
      </c>
      <c r="Q32" s="13">
        <f t="shared" si="23"/>
        <v>1000000000000</v>
      </c>
      <c r="R32" s="13">
        <f t="shared" si="23"/>
        <v>880000000000</v>
      </c>
      <c r="S32" s="13">
        <f t="shared" si="23"/>
        <v>1000000000000</v>
      </c>
      <c r="T32" s="13">
        <f t="shared" si="23"/>
        <v>0</v>
      </c>
      <c r="U32" s="13">
        <f t="shared" si="23"/>
        <v>0</v>
      </c>
      <c r="V32" s="13">
        <f t="shared" si="23"/>
        <v>0</v>
      </c>
      <c r="W32" s="13">
        <f t="shared" si="23"/>
        <v>0</v>
      </c>
      <c r="X32" s="13">
        <f t="shared" si="23"/>
        <v>0</v>
      </c>
      <c r="Y32" s="13">
        <f t="shared" si="23"/>
        <v>0</v>
      </c>
    </row>
    <row r="33" spans="1:25" x14ac:dyDescent="0.2">
      <c r="A33" s="14" t="s">
        <v>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">
      <c r="A34" s="14" t="s">
        <v>10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2">
      <c r="A35" s="17" t="s">
        <v>11</v>
      </c>
      <c r="B35" s="18">
        <f>LOG(B32)</f>
        <v>8.3096301674258992</v>
      </c>
      <c r="C35" s="18">
        <f t="shared" ref="C35:S35" si="24">LOG(C32)</f>
        <v>8.1702617153949575</v>
      </c>
      <c r="D35" s="18">
        <f t="shared" si="24"/>
        <v>8.2741578492636805</v>
      </c>
      <c r="E35" s="18">
        <f>LOG(E32)</f>
        <v>7.6812412373755876</v>
      </c>
      <c r="F35" s="18">
        <f>LOG(F32)</f>
        <v>7.4471580313422194</v>
      </c>
      <c r="G35" s="18">
        <f>LOG(G32)</f>
        <v>7.4471580313422194</v>
      </c>
      <c r="H35" s="18">
        <f t="shared" si="24"/>
        <v>8.7781512503836439</v>
      </c>
      <c r="I35" s="18">
        <f t="shared" si="24"/>
        <v>8.6020599913279625</v>
      </c>
      <c r="J35" s="18">
        <f t="shared" si="24"/>
        <v>8.8808135922807914</v>
      </c>
      <c r="K35" s="18">
        <f t="shared" si="24"/>
        <v>8.9030899869919438</v>
      </c>
      <c r="L35" s="18">
        <f t="shared" si="24"/>
        <v>8.5051499783199063</v>
      </c>
      <c r="M35" s="18">
        <f t="shared" si="24"/>
        <v>8.8808135922807914</v>
      </c>
      <c r="N35" s="18">
        <f t="shared" si="24"/>
        <v>12.107209969647869</v>
      </c>
      <c r="O35" s="18">
        <f t="shared" si="24"/>
        <v>12.093421685162236</v>
      </c>
      <c r="P35" s="18">
        <f t="shared" si="24"/>
        <v>11.982271233039569</v>
      </c>
      <c r="Q35" s="18">
        <f t="shared" si="24"/>
        <v>12</v>
      </c>
      <c r="R35" s="18">
        <f t="shared" si="24"/>
        <v>11.944482672150169</v>
      </c>
      <c r="S35" s="18">
        <f t="shared" si="24"/>
        <v>12</v>
      </c>
      <c r="T35" s="18" t="e">
        <f t="shared" ref="T35:Y35" si="25">LOG(T32)</f>
        <v>#NUM!</v>
      </c>
      <c r="U35" s="18" t="e">
        <f t="shared" si="25"/>
        <v>#NUM!</v>
      </c>
      <c r="V35" s="18" t="e">
        <f t="shared" si="25"/>
        <v>#NUM!</v>
      </c>
      <c r="W35" s="18" t="e">
        <f t="shared" si="25"/>
        <v>#NUM!</v>
      </c>
      <c r="X35" s="18" t="e">
        <f t="shared" si="25"/>
        <v>#NUM!</v>
      </c>
      <c r="Y35" s="18" t="e">
        <f t="shared" si="25"/>
        <v>#NUM!</v>
      </c>
    </row>
    <row r="36" spans="1:25" x14ac:dyDescent="0.2">
      <c r="A36" s="17" t="s">
        <v>12</v>
      </c>
      <c r="B36" s="19">
        <f>LOG(B29)</f>
        <v>12.40823996531185</v>
      </c>
      <c r="C36" s="19">
        <f t="shared" ref="C36:Y36" si="26">LOG(C29)</f>
        <v>12.334453751150932</v>
      </c>
      <c r="D36" s="19">
        <f t="shared" si="26"/>
        <v>12.38738982633873</v>
      </c>
      <c r="E36" s="19">
        <f>LOG(E29)</f>
        <v>12.414973347970818</v>
      </c>
      <c r="F36" s="19">
        <f>LOG(F29)</f>
        <v>12.350248018334163</v>
      </c>
      <c r="G36" s="19">
        <f>LOG(G29)</f>
        <v>12.414973347970818</v>
      </c>
      <c r="H36" s="19">
        <f t="shared" si="26"/>
        <v>12.786751422145562</v>
      </c>
      <c r="I36" s="19">
        <f t="shared" si="26"/>
        <v>12.651278013998144</v>
      </c>
      <c r="J36" s="19">
        <f t="shared" si="26"/>
        <v>12.729164789692771</v>
      </c>
      <c r="K36" s="19">
        <f t="shared" si="26"/>
        <v>12.465382851448418</v>
      </c>
      <c r="L36" s="19">
        <f t="shared" si="26"/>
        <v>12.531478917042255</v>
      </c>
      <c r="M36" s="19">
        <f t="shared" si="26"/>
        <v>12.477121254719663</v>
      </c>
      <c r="N36" s="19">
        <f t="shared" si="26"/>
        <v>12.255272505103306</v>
      </c>
      <c r="O36" s="19">
        <f t="shared" si="26"/>
        <v>12.350248018334163</v>
      </c>
      <c r="P36" s="19">
        <f t="shared" si="26"/>
        <v>12.28330122870355</v>
      </c>
      <c r="Q36" s="19">
        <f t="shared" si="26"/>
        <v>12.24551266781415</v>
      </c>
      <c r="R36" s="19">
        <f t="shared" si="26"/>
        <v>12.318063334962762</v>
      </c>
      <c r="S36" s="19">
        <f t="shared" si="26"/>
        <v>12.079181246047625</v>
      </c>
      <c r="T36" s="19">
        <f t="shared" si="26"/>
        <v>12.673941998634088</v>
      </c>
      <c r="U36" s="19">
        <f t="shared" si="26"/>
        <v>12.639486489268586</v>
      </c>
      <c r="V36" s="19">
        <f t="shared" si="26"/>
        <v>12.64738297011462</v>
      </c>
      <c r="W36" s="19">
        <f t="shared" si="26"/>
        <v>12.606381365110606</v>
      </c>
      <c r="X36" s="19">
        <f t="shared" si="26"/>
        <v>12.565847818673518</v>
      </c>
      <c r="Y36" s="19">
        <f t="shared" si="26"/>
        <v>12.515873843711679</v>
      </c>
    </row>
    <row r="37" spans="1:25" x14ac:dyDescent="0.2">
      <c r="E37" s="21"/>
      <c r="F37" s="21"/>
      <c r="G37" s="2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 hr</vt:lpstr>
      <vt:lpstr>24 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王豐錡</dc:creator>
  <cp:lastModifiedBy>王廣宇</cp:lastModifiedBy>
  <dcterms:created xsi:type="dcterms:W3CDTF">2026-01-12T06:20:02Z</dcterms:created>
  <dcterms:modified xsi:type="dcterms:W3CDTF">2026-04-30T09:40:08Z</dcterms:modified>
</cp:coreProperties>
</file>