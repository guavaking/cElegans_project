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u\11_kekelab\cElegent_project_AS\"/>
    </mc:Choice>
  </mc:AlternateContent>
  <xr:revisionPtr revIDLastSave="0" documentId="13_ncr:1_{2BBB303D-9BA8-4866-B01F-F41268B9B6A2}" xr6:coauthVersionLast="47" xr6:coauthVersionMax="47" xr10:uidLastSave="{00000000-0000-0000-0000-000000000000}"/>
  <bookViews>
    <workbookView xWindow="-120" yWindow="-120" windowWidth="29040" windowHeight="15840" xr2:uid="{49EAF373-55EF-4062-A116-2834629EE943}"/>
  </bookViews>
  <sheets>
    <sheet name="0+24 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G21" i="1"/>
  <c r="H18" i="1"/>
  <c r="H28" i="1" s="1"/>
  <c r="I18" i="1"/>
  <c r="I28" i="1" s="1"/>
  <c r="G18" i="1"/>
  <c r="G28" i="1" s="1"/>
  <c r="C21" i="1"/>
  <c r="D21" i="1"/>
  <c r="B21" i="1"/>
  <c r="C18" i="1"/>
  <c r="C28" i="1" s="1"/>
  <c r="D18" i="1"/>
  <c r="D28" i="1" s="1"/>
  <c r="B18" i="1"/>
  <c r="B28" i="1" l="1"/>
  <c r="B25" i="1"/>
  <c r="I25" i="1" l="1"/>
  <c r="H25" i="1"/>
  <c r="I24" i="1"/>
  <c r="H24" i="1"/>
  <c r="G24" i="1"/>
  <c r="D24" i="1"/>
  <c r="C24" i="1"/>
  <c r="B24" i="1"/>
  <c r="G25" i="1"/>
  <c r="D25" i="1"/>
  <c r="C25" i="1"/>
  <c r="I8" i="1"/>
  <c r="I11" i="1" s="1"/>
  <c r="H8" i="1"/>
  <c r="H11" i="1" s="1"/>
  <c r="G8" i="1"/>
  <c r="G11" i="1" s="1"/>
  <c r="I5" i="1"/>
  <c r="H5" i="1"/>
  <c r="G5" i="1"/>
  <c r="I12" i="1" l="1"/>
  <c r="I27" i="1"/>
  <c r="I29" i="1" s="1"/>
  <c r="I30" i="1" s="1"/>
  <c r="H12" i="1"/>
  <c r="H27" i="1"/>
  <c r="H29" i="1" s="1"/>
  <c r="H30" i="1" s="1"/>
  <c r="G12" i="1"/>
  <c r="G27" i="1"/>
  <c r="G29" i="1" s="1"/>
  <c r="G30" i="1" s="1"/>
  <c r="D8" i="1"/>
  <c r="D11" i="1" s="1"/>
  <c r="C8" i="1"/>
  <c r="C11" i="1" s="1"/>
  <c r="B8" i="1"/>
  <c r="B11" i="1" s="1"/>
  <c r="D5" i="1"/>
  <c r="C5" i="1"/>
  <c r="B5" i="1"/>
  <c r="D12" i="1" l="1"/>
  <c r="D27" i="1"/>
  <c r="D29" i="1" s="1"/>
  <c r="D30" i="1" s="1"/>
  <c r="C12" i="1"/>
  <c r="C27" i="1"/>
  <c r="C29" i="1" s="1"/>
  <c r="C30" i="1" s="1"/>
  <c r="B12" i="1"/>
  <c r="B27" i="1"/>
  <c r="B29" i="1" s="1"/>
  <c r="B30" i="1" s="1"/>
</calcChain>
</file>

<file path=xl/sharedStrings.xml><?xml version="1.0" encoding="utf-8"?>
<sst xmlns="http://schemas.openxmlformats.org/spreadsheetml/2006/main" count="64" uniqueCount="18">
  <si>
    <t>0hr</t>
  </si>
  <si>
    <t>dilution (pwr)</t>
    <phoneticPr fontId="5" type="noConversion"/>
  </si>
  <si>
    <t>CFU/ml</t>
    <phoneticPr fontId="5" type="noConversion"/>
  </si>
  <si>
    <t>Dilution</t>
  </si>
  <si>
    <t>Average Donor</t>
    <phoneticPr fontId="3" type="noConversion"/>
  </si>
  <si>
    <t>Average Recipient</t>
    <phoneticPr fontId="3" type="noConversion"/>
  </si>
  <si>
    <t>log recipient</t>
    <phoneticPr fontId="3" type="noConversion"/>
  </si>
  <si>
    <t>log donor</t>
    <phoneticPr fontId="3" type="noConversion"/>
  </si>
  <si>
    <t>Initial: Donor/Recipient</t>
    <phoneticPr fontId="5" type="noConversion"/>
  </si>
  <si>
    <t>After: Donor/Recipient</t>
    <phoneticPr fontId="5" type="noConversion"/>
  </si>
  <si>
    <t>log CI</t>
    <phoneticPr fontId="5" type="noConversion"/>
  </si>
  <si>
    <t>Donor competitive index</t>
    <phoneticPr fontId="5" type="noConversion"/>
  </si>
  <si>
    <t>CEN2ent</t>
    <phoneticPr fontId="3" type="noConversion"/>
  </si>
  <si>
    <t>Donor: JUb19</t>
    <phoneticPr fontId="3" type="noConversion"/>
  </si>
  <si>
    <t>Recipient: CEN2ent</t>
    <phoneticPr fontId="5" type="noConversion"/>
  </si>
  <si>
    <t>Donor: JUb19 Recipient: CEN2ent; D:R=9:1</t>
    <phoneticPr fontId="3" type="noConversion"/>
  </si>
  <si>
    <t>Donor: JUb19 Recipient: CEN2ent; D:R=1:9</t>
    <phoneticPr fontId="3" type="noConversion"/>
  </si>
  <si>
    <t>24hr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</si>
</sst>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#,##0.0"/>
  </numFmts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1"/>
      <color rgb="FFFF0000"/>
      <name val="Arial"/>
      <family val="2"/>
    </font>
    <font>
      <sz val="9"/>
      <name val="新細明體"/>
      <family val="3"/>
      <charset val="136"/>
      <scheme val="minor"/>
    </font>
    <font>
      <sz val="10"/>
      <color rgb="FF00204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E9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right"/>
    </xf>
    <xf numFmtId="3" fontId="1" fillId="5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/>
    </xf>
    <xf numFmtId="11" fontId="1" fillId="0" borderId="0" xfId="0" applyNumberFormat="1" applyFont="1" applyAlignment="1">
      <alignment horizontal="right"/>
    </xf>
    <xf numFmtId="11" fontId="1" fillId="0" borderId="0" xfId="0" applyNumberFormat="1" applyFont="1" applyAlignment="1"/>
    <xf numFmtId="0" fontId="1" fillId="0" borderId="0" xfId="0" applyFont="1" applyAlignment="1">
      <alignment horizontal="center"/>
    </xf>
    <xf numFmtId="176" fontId="1" fillId="0" borderId="0" xfId="0" applyNumberFormat="1" applyFont="1" applyAlignment="1"/>
    <xf numFmtId="177" fontId="1" fillId="0" borderId="0" xfId="0" applyNumberFormat="1" applyFont="1" applyAlignment="1"/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92529</xdr:rowOff>
    </xdr:to>
    <xdr:sp macro="" textlink="">
      <xdr:nvSpPr>
        <xdr:cNvPr id="1025" name="AutoShape 1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298F1BBF-8F81-49C4-AEBF-9BFF902C89C5}"/>
            </a:ext>
          </a:extLst>
        </xdr:cNvPr>
        <xdr:cNvSpPr>
          <a:spLocks noChangeAspect="1" noChangeArrowheads="1"/>
        </xdr:cNvSpPr>
      </xdr:nvSpPr>
      <xdr:spPr bwMode="auto">
        <a:xfrm>
          <a:off x="26076729" y="27595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92529</xdr:rowOff>
    </xdr:to>
    <xdr:sp macro="" textlink="">
      <xdr:nvSpPr>
        <xdr:cNvPr id="1026" name="AutoShape 2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4AE89266-8245-48B6-95CB-EA7B100DBD27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92529</xdr:rowOff>
    </xdr:to>
    <xdr:sp macro="" textlink="">
      <xdr:nvSpPr>
        <xdr:cNvPr id="1028" name="AutoShape 4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834FA2BA-1196-4AC8-9D57-9AAFF86AE709}"/>
            </a:ext>
          </a:extLst>
        </xdr:cNvPr>
        <xdr:cNvSpPr>
          <a:spLocks noChangeAspect="1" noChangeArrowheads="1"/>
        </xdr:cNvSpPr>
      </xdr:nvSpPr>
      <xdr:spPr bwMode="auto">
        <a:xfrm>
          <a:off x="24770443" y="19104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22</xdr:row>
      <xdr:rowOff>0</xdr:rowOff>
    </xdr:from>
    <xdr:ext cx="304800" cy="304514"/>
    <xdr:sp macro="" textlink="">
      <xdr:nvSpPr>
        <xdr:cNvPr id="5" name="AutoShape 2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EE6FD750-3DCA-45E4-B53E-64CC59C3FFAB}"/>
            </a:ext>
          </a:extLst>
        </xdr:cNvPr>
        <xdr:cNvSpPr>
          <a:spLocks noChangeAspect="1" noChangeArrowheads="1"/>
        </xdr:cNvSpPr>
      </xdr:nvSpPr>
      <xdr:spPr bwMode="auto">
        <a:xfrm>
          <a:off x="3953233" y="1907864"/>
          <a:ext cx="304800" cy="304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0</xdr:rowOff>
    </xdr:from>
    <xdr:ext cx="304800" cy="304514"/>
    <xdr:sp macro="" textlink="">
      <xdr:nvSpPr>
        <xdr:cNvPr id="6" name="AutoShape 4" descr="data:image/jpeg;base64,iVBORw0KGgoAAAANSUhEUgAAAsQAAAJhCAYAAABGhKbeAACfZ0lEQVR4nO3deZwT5eE/8M+CqHgNCyKXaGARFREwCwrebha8pUp2UTxKW7KAttqLrPKtrVq7mqW1rbZFEtva1lZhF69qrUuy3hbrJngryLJBRfDcRCwKKvP7Y38zPjOZJJNkJufn/XrlRdgkk2eSzMxnnnmOKlmWZRARERERVah+hS4AEREREVEhMRATERERUUVjICYiIiKiisZATEREREQVjYGYiIiIiCoaAzERERERVTQGYiIiIiKqaAzERERERFTRGIiJiIiIqKIxEBMRERFRRWMgJiIiIqKKxkBMRERERBWNgZiIiIiIKhoDMRERERFVNAZiIiIiIqpoDMREREREVNEYiImIiIioojEQExEREVFFYyAmIiIioorGQExEREREFY2BmIiIiIgqGgMxEREREVU0BmIiIiIiqmgMxCmMGTMGVVVVCAQCaZ9bW1uLqqqqtLf6+vo8lJyIiIiIzGIgTqK9vR3RaNT087u7u+0rDBERERHZhoHYQDQaxZIlSzJ6fjwet7FERERERGSXPQpdgGLT2tqKlpaWjAKuWDssy7IdxSIiIiIimzAQo6+Gd8yYMVm/ftOmTQAAp9NpVZGIiIiIKE/YZMICvb29AICxY8cWuCRERERElCkGYgAOhwOyLGtuwWDQ9Os3btwIoHCB+M9//jNOOeUUPPTQQwV5fyIiIqJSxkBsgXA4DAAYMmQIWltbMWjQIM1Qa01NTWhvb7ft/b/97W/jySefxF/+8hfb3oOIiIioXDEQW0DpVNfc3Izm5uaEDnmBQAANDQ2or6837Kx3yy23mBrDONmNiIiIiLLHQJyjeDyuCblerxc9PT1q04u2tja1s10oFEJdXV3CMh5++OG8lZeIiIiItDjKRI7EIdfa2trgdrs1j7vdbrjdbtTX1yMUCiESiSAQCMDj8ajP+cUvfoF//OMfWZfhtttuy/q1RERERJWOgThHTqfT1NjDd9xxhzq0W0dHhyYQT58+HdOnT8+6DAzERERERNljk4k8cTgccDgcAICurq7CFoaIiIiIVAzEeVRTU1PoIhARERGRDgNxjpSRHhoaGtI+V2lvPHjwYLuLRUREREQmMRDnSBlBYs2aNSmfF41GEY1GAQD19fV2F4uIiIiITGIgztGiRYsA9A2/1tzcnPR5c+bMUe8vXrzY9nIRERERkTkMxDnyeDxqLXFraysaGhoQiUTUx0OhEOrr69W/+Xw+tXMdERERERUeh12zQGdnJ+bMmYNQKIT29vak0zT7fD54vd48l46IiIiIUmENsQUkSUIwGITf70+YmAPoC8LhcJhhmIiIiKgIVclmZpWgolZVVQWgb1a8tra2ApeGiIiIqLSwhpiIiIiIKhoDMRERERFVNAZiIiIiIqpoDMREREREVNEYiImIiIioojEQExEREVFFYyAmIiIioorGQExEREREFY2BmIiIiIgqGgMxEREREVU0BmIiIiIiqmgMxERERERU0RiIiYiIiKiiMRATERERUUVjICYiIiKiisZATEREREQVjYGYiIiIiCoaAzERERERVTQGYiIiIiKqaAzERERERFTRGIiJiIiIqKIxEBMRERFRRWMgJiIiIqKKxkBMRERERBWNgZiIiIiIKhoDMRERERFVNAZiIiIiIqpoDMREREREVNEYiImIiIioojEQExEREVFFYyAmIiIioorGQExEREREFY2BmIiIiIgq2h6FeuNIJILe3l71/9XV1XA6nYUqDhERERFVqLwE4mg0ijVr1qCjowNdXV2IRqNJn+twODB16lTMmjULM2fOhMPhyEcRiYiIiKhC2RqIQ6EQbr/9drS3t5t+TTQaRTQaVV/jdruxaNEiuFwuu4pJRERERBXMlkAcCoVw0003IRQKJTzmdDpRXV2NWbNmJTzW0dGB3t5eRCIR9W/t7e1ob2+H0+lEa2srgzERERERWapKlmXZqoVFo1EsWLBAE4SdTifmzp2L2trajMJsKBRCOBzGypUrNQHZ5XLhjjvuYFMKQVVVFYC+2vS2trYCl4aIiIiotFgWiFtbW9HS0oJ4PA5JkrBw4UIsXrzYkuAajUaxfPlyrFixQl3+0qVL4fV6cy94GWAgJiIiIsqeJYE4FAqhvr5eDaoLFy6EJElWlE8jHo9jxYoVavAOBoNsQgEGYiIiIqJcWDYOsdfrxebNm+H1em0JwwAgSZLmfYiIiIiIcmVpG2IqDNYQExEREWWPM9URERERUUWzbNi15uZmhMNhqxanqq2thc/ns3y5RERERESAhYE4HA4bjjtMRERERFTM2GSCiIiIiCqaZTXEwWDQqkUREREREeUNa4iJiIiIqKIxEBMRERFRRWMgJiIiIqKKZlkbYjPi8Ti6uroyek11dTWcTqdNJSIiIiKiSpeXQByJROD1erMals3lcrHDHhERERHZxvZAHIlEUFdXh3g8bvdbERERERFlzPZA7PV6NWHY7XZj2rRppl9fXV1tR7GIiIiIiADYHIjj8bjaTMLhcOCxxx6Dw+Gw8y2JiIiIiDJi6ygTYge6pUuXMgwTERERUdHJ27BrY8eOzddbERERERGZZmsgnjp1qnp/06ZNdr4VEREREVFWbA3EkiTB5XIBAFauXGnnWxERERERZcX2JhN33HEHJElCKBRCQ0MDh18jIiIioqJSJcuybPeb6McidrlcmDVrlqnXVldXw+Px2Fm8kldVVQWgb0i7tra2ApeGiIiIqLTkZaa6lStXamqGQ6GQ6VnrXC4XAzERERER2cb2JhOtra1obW21+22IiIiIiLJiew1xS0uLet/tdmPu3LkZzT7HmeqIiIiIyE62BuJQKKQ2lWD7ViIiIiIqRnmbmGPRokX5eisiIiIiItNsDcQ1NTV2Lp6IiIiIKGe2BmKHwwGn0wkA6OjosPOtiIiIiIiykpdRJpR/I5GI3W9HRERERJQR2wOxy+WC3+8HANTW1qK1tRXRaNTutyUiIiIiMsX2meoCgQB6e3vR0dGhmYzD6XSaGlKttrYWPp/PziKWPM5UR0RERJQ928chXrlypeGsdGw+QURERETFIG/DrhERERERFSNLaoiVyTckSUp4LBgMWvEWRERERES2sKSGuKurC4MGDUJDQwMCgYAakImIiIiIip2lTSba29vR1NTEcExEREREJcOSQOxyuRCLxeD3++F2uwEwHBMRERFRabBl2LV4PI5Vq1aho6MD7e3tmsfcbjemTZuGxsZGOBwOq9+6InHYNSIiIqLs2T4Ocapw7HQ6MXfuXIbjHDEQExEREWXP9kAsEsPxmjVrNE0oGI6zx0BMRERElL28BmK99vZ2dHR0YNWqVQzHOWAgJiIiIspeQQOxKFU4DgQCcDqdBSxdcWMgJiIiIspe0cxU53a74ff7EYvF0NbWBo/HA0mSEIlE0NvbW+jiEREREVGZKppALNKH45qamkIXiYiIiIjKlCVTN9tJGdeYiIiIiMgOlgXiXJs2TJ06FZIkWVUcIiIiIiJTLAvEXq8XoVAop2U4HA4sXrwYCxcuZDgmIiIiorwoqjbE0WgUzc3NOPTQQxMm8SAiIiIisoNlNcS1tbVZv7a3txeRSET9fzweR0NDA9ra2tiGmIiIiIhsVTTjEANAIBBAS0sLotEoAECSJGzevJnNJ9LgOMRERERE2SuqJhMejwcvvPCCOglHPB7HihUrClwqIiIiIipnRRWIgb5a4UAgoP5/+fLlBSwNEREREZW7ogvEQN90zUotcTQa1UzlTERERERkpaIMxAAwd+5c9X5XV1cBS0JERERE5axoAzERERERUT4wEBMRERFRRSvaQNzR0aHer6mpKWBJiIiIiKicFWUgjsfj6jTQkiTB4XAUtkBEREREVLaKMhAvWLBAvd/Y2FjAkhARERFRuSuqQByNRtHQ0ID29nb1b+JoE0REREREVtvDqgUFAgH09vZm9dqPPvoI4XBYbSah8Hg8cLlcVhSPiMgWvb29uPfee7F27Vq89dZbAIBDDz0UM2bMgNvtxqOPPoonn3wS3d3d2LlzJ0aOHIna2lrMnj2bzcGIiIpElSzLshULqq+vTwi0ufB4PPD7/ZYtr5xVVVUBANxuN9ra2gpcGqLK8X//93/w+Xz46quvDB+vqqpCql2sx+NBa2srBg0aZFMJiYjIjKJqMgEADocDfr+fYZiIitqpp56KlpYWNQwfcsghqK+vh8vlwj777AMAmjB80kkn4fTTT8f48ePVvwUCAVRXV6snsq+//noe14CIiBSWNZmYO3cuZs2alfXrx44di6lTp/ISIhEVvVNPPRVPPPEEAODMM8/ENddcg5NOOgkAsHjxYvVq2X777YdPP/0UALDvvvvikUceAQC8/PLLuOKKK/DUU08B0HYe3meffXDOOedg0aJFOO200/K2TkREFU2mpBwOhwxA9vv9pp4fi8Vkn88nS5IkA1BvPp9P7unpsa2cyvu43W7b3oOI+lx99dXqNnfMMcdoHvvHP/6hPnbWWWfJn3/+ubxo0SL1bzfccIP87rvvymeddZZmH5HsdsUVVxRoLYmIKotlbYjLTXt7OxoaGgAAfr8fHo8n5fMjkQjq6uoQj8eTPicYDNrSSZBtiIny48MPP8RBBx0EWZYhSRJ27tyJzz//HHvuuScmTpyIzZs346OPPsKee+4JWZbxxRdfYODAgRgwYAA++eQTDBgwAF988YVmmQMHDsRnn30GAPjFL36BrVu3IhAIYOfOnQCA888/H/fee2/e15WIqJJY1oY4EokgFApZ2rGuUKLRKJYsWZLR89OFYaCv42EkEsm1eERUIB6PR20XHI/H8fnnnwMAdu3ahUgkgo8++kj9vxJ8P/vsM3zyyScAkBCGlccV7e3tuO2227Bp0yZ84xvfAADcd999+MEPfmDbOhERkYWB2Ov1or6+HvX19VYtsiBaW1sxZcoURKNR069paWlRw7DD4UBbWxtkWYYsywgGg3A6nepzvV6v1UWmCvT+++9j1apVuPHGGwEAv/rVrxAMBgH0ha6HH34Yra2tAICbbroJ999/P7Zv316w8paDhQsX4v7771f/73K58NOf/hQXXXQRJkyYkPD8yZMnY968eTj++OMTHhsxYgQuueQS3HjjjZg9e7b693Xr1uGcc87ByJEjcd999+Gcc84BAPzmN7/B888/b/1KEdnsnXfewT/+8Q/ccMMNuOaaa/Cb3/xGbX//6aef4oEHHsBNN90EAPD5fHj44Yexa9euQhaZKpVVbS9cLpfa7i2ZcDgsu1wu2eVymW6Xmw89PT0p2/GlKmssFlOfJ0mSYVvhWCymtkcGIIfDYUvLD7YhrhhvvPGGfPHFFyf9rQ4cOFAeMGCA4WNVVVXyokWL5K1btxZ6NUrOtddeq/ksp0+frj42ZswYU+2BM7ldcsklsizL8saNG9W/NTU1FWr1iTLW1dUlX3DBBUl/4/vtt59cVVWVdD/2wx/+UN6+fXuhV4MqSF6HXevt7VWbVWQ7iUexWbFihXp/6dKlhqNkSJKEpUuXqv9fuXJlPopWMDKbpdvi73//O44++mj8/e9/T/qczz77zPCyPND3vdx+++0YMWIE1qxZY1cxy866devw85//HEDftgwA1dXVAIB7770XPT09lr3XwIEDAQB33XUX2traUFNTg4svvhgA1BEqiIrd8uXLMXXq1JRt3z/99NOkx4rPPvsMt9xyC6ZMmYLnnnvOrmISaRTdOMSF4HA41CYOstDUwYyNGzeq91M1FxGHVQqHw9kXtgB27tyJW2+9FfX19Rg8eDCqqqrQv39/7LXXXqiqqkJVVRX23ntvDBw4EFVVVejXrx/Gjh2Lb37zm7jxxhvxrW99C+PGjVOfO2LECHzjG9/A3/72t0KvWsn47ne/i0suuUQTdkeNGoVvfvObmDdvnuFrJEnC/fffj6+++gqPP/44Lr30UvWxWbNmqd/HhAkTcMUVV+A///mP7esh6uzsxIIFCzB+/Hi1LMOGDcO5556LP/3pT3ktSyrLly9X75966qkAgPXr1wMA/vznPwMA9tprL3XYNQC49NJL1c6ueoceeqh63+l04sc//jHOOussAMDEiRMxatQoAMDvfvc7AMAJJ5wAAHj77bfx8ccfW7FKRLa5/fbbcfnll6v///GPf4x169ZBlmU8/vjjhq859thj8fnnn2PXrl149NFH1WZE3d3dmD59OqqqqrDnnnti0qRJ+OEPf4gXXnghD2vytYcffhiXXXYZxo4dq+6rRo0ahTlz5uDnP/85rrzySkycOBEDBgxAVVUVhgwZgpkzZ+L666/Htddei+OOOw777rsvqqqqsN9++2HGjBm4/vrr8c477+R1PSgNq6qazTSZCAaDmqHIiplY1lRNJpT1liQp7TKdTqcMQHY4HBaW1N4mE3/729/k4cOHW35JWLlNmTJFfuyxxywvd7l4/PHH5YkTJ+b0GV966aXy3/72N/nQQw9N+9xvfetb8ueff27rOr3//vtyQ0ND2rJMmDBBfvTRR20tixkHHXSQDEA+7LDD5BNOOEEt35lnnqnenzRpkvyNb3xD/f/xxx8v77333obrNXXqVLUJ1f777y9fcskl6mMTJ06Up06dqv5/3rx58qRJk9LuW4mKwQsvvKD5rT/99NPqY7t375bHjx+vPvbXv/5V/uEPf6j+/zvf+Y4sy7L8pz/9ST7wwAPT7h+uvPJK29dn48aNmu3cjtvNN99s+3qQObZM3ZxskaFQSK1F9fl8Rd3BTCxrqmHXxowZg2g0CqfTmbbmN9ln9OKLL2LVqlVZNzVQOiTYMeyaWMu15557qp0djIaP2mOPPfDll18mXZbP58OAAQOwceNG/Pvf/8amTZvUx1avXo0LLrjA0rKnsnHjRowbNw4bNmzQzBxWbPS1jGeeeSZmzpyJL774As3NzQnP/853voOamhr8+c9/xptvvmm4zBEjRmDr1q0A+mqKDzjgALS3t2ueY9FuwdCRRx6JN954AwCw995744ILLsCkSZOw1157obu7Gx0dHdiwYYP6/NbWVixZsgQ9PT0YM2aMZlnd3d2oqanB+vXrcfjhh1te1mg0mvCehfThhx9iyJAhhS5GSVB+L2+88QbGjx+Pfv1K84Ko8ttWfuvF7MILL1SbBD755JOaqyY333wzrrnmGgB9tcgLFy4EAFx22WXq1cKmpibNLLUHH3ywWot63nnnAQAefPBB9fEzzjjD1qZEI0eOVPeVgwYNwuzZs3HUUUehf//++OUvf6k+prjxxhuxfv16RCIRvPrqq5rH6uvrUV1djfHjx+PZZ5/FY489pj62cOFC3H777bath962bdswfPhwvPjii3A4HGpTMKBv9JxoNIrJkyerz1Ps2rULGzduxIQJE7B582bN1a6yYFWyrtQaYqWmx+VypV2mx+Mx/Izq6+stOdO0soZ4wYIFSd9n3Lhxcr9+/dT/H3PMMer9yZMna557xBFHqPcPP/xw+dNPP1Xf47bbbtM897nnnrOs/EY6OjrkxsZGeb/99tO878CBA+ULLrhA/te//mXr+2fiv//9b8LnPm/ePFmWZfmhhx5KWav62WefyTt27JD333//pM/bd999ZQDy+PHjZVmW5S1btsiXXXaZ+vjpp59uy3pNmzZNfY8rrrhC7u3tNXyeuK2It8GDB8tnnHGGPGvWrIQJcPbcc0/53HPPle+//37Lyvvcc8/ZWjuUye3ggw+2bL3K1TPPPCNfdtll8uDBgzWfXf/+/eWzzjpLbmtrK3QRTXnggQfk8847T95rr70063HAAQfIF110UVFeVfvggw/UchrV3k6YMEEGIJ988smav7/11luGv3dlO1aukJ100kmyLMvym2++KZ9//vnq8+bOnWv5usRiMbmmpkZ9j6uvvlreuXOnLMt9x5GRI0calrlfv37yrFmz1P+LNeIA5Lvvvlt9j6efflqzP/zJT35i+XqI3n33Xfnqq6+Wx40bl1Du2tpaefbs2XJtba3h8f7cc8+VTzrppITHDjroINnj8ciRSMTWsucLA3ES+QzEv/jFLyw5YFoRiF977TX5+OOPN/2eyk6rqanJ8PHp06fLv/rVr9T/f+9739O8nxjuTj311JzLn8x3vvMdU+tz6aWX2laGTJx22mkJZXvwwQdlWZblI488MuGxmTNnqvd/8IMfyO3t7fLAgQNNrfOKFSvU9/3+97+v/v03v/mNpev0k5/8RF329ddfb/icbdu2yeecc07O20JjY6MlZX7llVc0y509e7Y8f/58W5oRHXLIIfL8+fM1PfPF9/F4PJasU7n6wQ9+YOpznj17dqGLmtT27dvluXPnmlqPyy+/vNDF1bj33nvVsv3nP//RPPb222+rj/3ud79LeK2+WUIoFFIfu+GGG9S//+9//1P/Pn/+fPXvf/vb3yxdl8WLF6vL/u1vf6v+3exxBIBcV1cnf/HFF/Lq1avVv40aNUr+4osv1OXF43FN0Ozq6rJ0PRR33HGHvM8++1i+zxJv1157rS1lzycG4iQyDcROpzPtMs18RtlQlplrII5EIgk/crfbrbaFnDRpkmYdAMhXXXWV+vrDDz9c/fuwYcPU+zNnztTUIn/44Yea973xxhvVx9asWZPTOhg5/fTT1eXvu+++8ne/+135nnvukW+99VZ51apV8lVXXSUPGjRIfc6IESPkc845R547d6587bXXysFg0PIypRIKhdSyzJkzR72/ZcsW+W9/+5v6f/Hznjp1qjxixIikO6s999xT/feoo45KqF2988471fdXai1qamosW6cvv/xSPuCAA2Sgr+2tEfGgCfTViNbV1an/Nwo8//jHP+Rbb71Vbm9vl3/0ox/JQ4cO1TyerAbarM8//zwhTM2fP1+eP39+wnsNGDBA3nfffeV9991XcwVF/x0Y3cTlnnzyyZrfq3J/7dq1Oa1LOtu2bZMDgYC8aNEiefbs2XJjY6N8zTXXyI888oj8xRdfyCtXrpS///3vyxdccIF8wQUXyN///vfle+65R961a5f8yCOPyEuXLpUbGxvl8847T164cKHs9/vzOsSf+HkuWLBAvuuuu+Tf/e538r333it7vd6EWr1iG34wHo9rynfggQfKP/zhD+X29nb51ltvlf/xj3/IixYt0vyOvv3tb8vnnnuuPG/ePPn666+Xn3rqqYKV/5e//KVaLjH0nXPOOfKMGTPUx8aOHSsfcsgh8rBhw+SRI0fK++23n2Z/dOyxx8rnnHOOehNrUV9++WV1uV9++aU8duxYGYB83HHHWbYe27ZtU9+vtrZW/Yz1+9chQ4ZojiPHHntswnatHEfEk1z9CcGrr76q+T6ttmzZsoQy/eEPf5DvuecezUmF/rh+yy23GD72rW99S16+fLl85513ypdeeqnmsVIfGpKBOIlK61T31VdfJXTeqq2tle+77z71/3/+858Nm1Jce+218gsvvCAfd9xxSQ/44u2WW27RvPeOHTvUS4NiwLaCeEZ/4YUXyh988EHCcz788ENNcwGj26RJk/J2uVWppR0wYID8u9/9ThPuGhsbTX3G2dyUwHXnnXdaHsIefPBBdZnJmqaI+5Af/OAH6t/1l79nzpwpn3LKKer/ly5dqj73s88+kxcuXKg+ZkVt4JQpUzTLU4Lr/PnzEy5pZ3rbd9995Xnz5mmWefDBB8tA32V+8bl22bFjh/y9730vZTmNAr6ZxwDI3/3udzU1e1bzer3qe5155pnypk2bDJ/31VdfyVdeeaX6XLuaBWVLbAbQ1NQk79ixI+E5PT09ms6bRrfp06fLjzzySN7LL1ZsKKzeR+lrUMUQ3t3dbcl63HzzzabKoj9WbdiwwdTrJk+enPCeSjAdMmSIJeuguP/++zXv/e9//1uW5b4rs2JnXaNbdXW1el9/1UK5WinLsvzyyy/LJ554ovrYTTfdZOk65BMDcRJmA7HYDCLVhBviBB5mmldkQlluLoFYvJyt1AgvWbJE/tnPfmb5Tg1IrAlWanGVdmJWePTRR9X3u+iiiwyfs3btWlOjLyi3c845R77hhhvkG2+8Uf7b3/4mb9y40bLyKpSwN2vWLE2Q7OrqMmz/ZdVt5syZsizL8tatW9W/3X777Zask3jZ86uvvkp4/A9/+IP6eH19vSzLfQe7f/7zn5pLimLAFWuPxZojWZblK664Qn3srrvuyqnsS5YsUZc1fvx4TXgV29wNHTpUHjlypDxy5MiEXvLV1dXyqFGj1BErlNvAgQPlY445Rp41a5Z8yimnGDaHSbdfzcXatWvlQw45xLbflHh75ZVXLC//unXr1OXPmjXL1GvEUT3OP/98+Z577pHfeecdy8uWib///e9qmRYvXmz4nEcffTTh5DDVze12y9ddd53c0tIi33333fJbb71l6zr88Y9/VN/7oYceklesWCFfd911lv6G9N/TSy+9pD62evXqnNfhX//6V84nuWZu//d//6d537vuukt9zMpjylFHHaUu98c//rEsy7J89tlnZ1RWpdZaHEHk6KOP1rzPjh07NDXkmzdvtmwd8omBOAmzgdjn85laJ7/frz7P6/VaWlZxB5gt5QAudgj43e9+Jy9atMi2ncJ///tf9f2Tta/OhdvtloG+oa30zTRkue+MXgwo8+fPl9euXav+7ayzzpJ37NiRsoMh0BfgOjo6LCu33TvjTG7J2vpmSgyoigcffFC+8sor5SuvvNJ0+7Zvfetb6mvEGfuMriwol1P1nXgyJZ5YAX3No8RQLNakzJgxQ3NgEA+uEydOTOh0mu4mLttKPT098rx585K+b6r253vttVfSWuEBAwbIS5culb/44gv5v//9r3zhhReqj40dO9byZgqXX365uvzXX3895XMDgYAmIOhv3/jGN2xvlpKMchLscDjk3bt3Jzyu79x5xRVXyI899ph6FeGyyy6TY7GY5vM2up177rnyM888Y8s6GDW5M7qJFUKpfoP620EHHZTwnp988on6+PLly3Mq/7PPPpvwnuvXr1ePI1bfrrvuOvW9n376afXvVn0/4pW+VLcFCxZoXnfRRRclPEep7Lv99tvVv913331JP79SbU9sSyBWpmfW35QmA8qGn+x54s3q8GiW2UBcDlM3P/bYY+oympqa1Ok0Z8+erflePR6P2m5yzJgxssfjSVpjceKJJ6o9bCVJMhw1wOFwyL///e/l3//+9+rYq1OmTLHsc1EO6snGqzzjjDPUssyfP1/9+9VXX63ZWZjdwVnVS1hsb13o27JlyyxZJ7GWVWFlOQ877LCE9xQv4Ro1lTFLH4iBvs5uJ598stzY2JiyxuXMM8/UtE8Xb8cdd1xCjbFyGzZsmDxr1ixNjbFV2traEkZasfo2YcIEed26dbIsa5sCNDQ0WLYesvz1tNmpRhr48ssvTY17bfXnbNZHH32kvvcNN9xg+ByxHa3YgUxpEnbggQcaBpl8reOuXbs0/R3S3V577TVZljMLxEbl3rJli/qY2A8iG2I+Ed9POY4cccQRhu2EjW6DBg3SNEGcN2+e4cmwMlrIv/71L/VvynaTizVr1piuZNh///3lc889V77sssvk4447znAEjaFDh8qXXXaZfNlll6kn+QsXLkx4X2XErKlTp+a8DoVgSyC28mZ18wKzzAZiWdbWbjocDk1b02AwqNnQ7FgfZdnZBmKxnWqhb1aNDvDGG2+oyzRq+yuObiHWwo0fP14zYoNyGzVqlCYon3XWWfKrr74qX3/99ZrnNTc351x2sZZnxIgR8mGHHab+f4899rD08z7yyCPlY489Vt15Kh3flJtVQ5iJV0g2bNggy7K2J7cVN3FIP1mW5SeffFJ97PHHH8+67GIgThZurboNHDhQU/tsdSAWRwJQbueff768a9cuzXek/4088MADho9NmzZNluW+mjqjCWSU4PPd735X/ZtVHb/EyojbbrvN8DkdHR1qm2zlduCBB8qnnnqq+v9bb71Vc8Im3mpqauRLL71UfuCBBywps5F0v1Oxpk/cV02YMMFwNJrx48dr1ueyyy6TX3jhBc3+C7BuQoje3l5N8yXlNn36dPX+/PnzE/o//OxnP0sIbeLvXexcKt6WLFki9/b2yr29vZqmBrnUrIrNPcTOyuI+6qKLLpK/+c1vqv8/66yzkm7Ho0aN0vRLufzyy9V1GzJkiOa7uvHGGzX5afv27Tl9H0888URCWTo6OiyfYOT4449PeG+licyee+6Z0zoUCgNxEpkE4p6enoRe+8luVtcOy7I1TSbs+O6yueV62ctonfTL/Pe//50wQkC63+DLL78sR6NRzYH97bfflmW5bzYj8fm5dr4TL0sdddRR8nXXXWdYe1FbWyuffPLJmvEyk93EUT+U24QJE+TrrrtOvu6669TQra8dyHWUBsX69evVZSo16UY7aCUsy7JseJAFII8ePVo9aFx11VXq3/XEKx+5EAPx7NmzZafTqRn9QbztscceSU9a9tprr6Sz1ymjf+g72FkZiN977z3NwVi5vffee5q2mEa3VGNaK21e16xZk/CY0ifggw8+UK886YdezIXyPkuWLNH8ffPmzfJ5551navt+4IEHUoYb5VZXV5fQVt3q9VCaXn3xxRfy7373O/mqq64yPXwi0Fcz9+tf/1r+zW9+ow6fuccee6hj6OqbNXR2dlpW9kLe9t9//5zWQRwFo5C3E088Maf12L17tybQA31Xdj/99FNbyqsnNmMrRXvAIq2trejt7bVqcarq6mrLl2k1h8OBzs5O1NXVIR6PJ31eMBiE0+nMY8nMue222zT/b2xsxKpVqwAARxxxBD766CN88MEHlrzXoEGDcOmll+Lpp5/GunXrNLPf9evXDxdffLEl7/Paa6+p9/v164d77rkH9957b1Yz+YVCIRx99NEJf1+7di3cbjdqamrw9ttvY/To0QD6Zityu91Zl/3iiy/GokWLAACbN2+GLMs477zzsHPnTs3sR6+99homT54MABgyZAg++ugjzXKGDRuG9957DwDUfxXHHnsszjrrLPX///vf/wAAu3fvVv92+umnY9CgQVmvh2j8+PE488wz8cgjj+DGG2/Eq6++qs4wNX36dKxduxYAEmY/FJ199tl4+OGH8fbbb+Mb3/gGFi9ejIMOOkh9fPv27dh///3V/++1117q/cceewynnXaaJesyadIkTJo0CR9++CF6e3tx2GGH4c0338SgQYMwdOhQAMD777+PWCyG8ePHY+PGjaiurlZnmPv444/R29uLmpoabNiwAZIkYdiwYZaULZWbb75Z/Y3U1NSgu7sb55xzDg466CBcddVV6vMOP/xwrF+/HgBw3HHH4bnnnsP27dsBaH9Tyv3ly5dDlmUMHz4ckiQhHo9j6tSp6OrqwlNPPYU777wT8+fPx7nnnosHH3wQzzzzjCXrIx5vhgwZgtWrV2PTpk3YtWsXbrnlFnz88cfq4yNGjMDll1+O/v37Y8OGDXjwwQfVx2fPnq0+T9wfjR8/HtOnT8fDDz+Mjz76CJ2dnTj66KMtn8XxiSeeUO8PHDgQAPCjH/0It956a8bL6urqQldXl+ZvX375JdauXYuTTz4ZxxxzDF566SVMmjQJAPCLX/wip+1i48aNWb/WSrnOchqJRCwqSW6++c1v5vR6n8+nbrsOhwPRaBQffvihun8FgM7OTqxevRq///3vAQDXX389fvaznxkub+jQoTj44IOxbt067L333jj22GPx5JNPqo8vWLAAd9xxh/r/I444AkDfrLWlyLJSF2PQyyen04nNmzdjxYoVaGlp0QRjn8+HxsZGOByOwhUwhSOPPDLh/06nE5FIBG+88QaOPPJITSAeO3asZtplkX765pEjR+Ldd99V/3/22Wdj8ODBGD16NNatW6cefIC+g5YYaHJdJ6UsyhShVtu8ebN6/+CDD8Yf/vAHXH755XjxxRfx+OOP49RTT81qufvtt596/9NPP8Xdd9+N888/Hw0NDTjwwAPVA+hnn32m2dHp6UMw0Pf91NfXY/r06erfPv/8c/U72rZtm/r3Sy65JKvyJzN+/Hg1BN93333q38V1uPfeezFhwgT873//wyuvvKJ5/cMPP6zeD4VC6jToADBq1KiE387TTz+t3ld21FY68MADceCBBwIADjvsMM1jBx10kBrWx40bp3ls8ODBGDx4MADkddrwv/zlLwCAhoYGddpYZdu+55571OcpB1QAeO655zTLEH9T4n39tLODBw9Wg/Vf//pXzJ8/H0ceeSQefPBBRKNRS9anuroaBx10EN5//31cffXVKZ+7detWXHvttWmXKe6PNmzYgIceegh33nknbrjhBlx33XUA+kLC888/b9n+XNz/PvPMMzjxxBNx2WWXZRWIkxH3VUcffTRuuOEG/PSnP0UoFMKrr76Ko446Kqvl/uMf/1DvH3XURBx7bN9+Zffu3fjLX/6UW6EBjB1bg1NOOVX9/2uvvYrnnkvc5zU1NWX9Htu2bcPOnTvV/zc0NOCrr77Cvffem/UyU1myZAl2796NX/3qVwmPLViwIKdl//WvfwUATJ48GSNHjkQ0GsWTTz6pmdZ++/bt2HPPPdX/jxs3TjNFtujYY4/FEUccgXXr1uHzzz9Hc3Mz1q1bp54g//GPf8SOHTvUChxlHz1x4sSc1qNQSnNy9zxwuVyQ+5qUwOPxmHqNJEnwer2IxWLqa2VZhtfrLdowDPStq/6M7uyzz1ZrPF9//XVN2Ni0aZMaBPQGDBig+b8Yhk899VTU1NTgww8/NKxZEGv7cnXDDTdognkqs2bNwsqVK7F48eKM3uPvf/+75v+XXnqpel+s9cnVhg0b8Pvf/x5PP/00Jk6ciO9///tqbWMygwYN0uz0xL/3799frV3btWsX1qxZY7gM5fvP1UcffYQzzjgDv/3tb9M+99prr8Utt9yCI488Eu+//77p99iyZUvC3+68804AfbWcI0aMML2scvTcc8+pNaIXXXQRPvzwQwBA//798dRTT1n+frt370ZjYyOAvtr5L774Av379wcATc1tLn77299m9BvJhtvtxvbt2/Gzn/0Mf/7znwEAH374IZqbmy17j4MOOggzZswA8PVv1uv1JjwvEAhg586d2LlzJ37xi19oHlNqlgHgxz/+MXbu3Im3335b/Zu+Vls82RVr/DL1+OOPq/cnTjwap5xyKk455VScdNJJwt8nYfz4w3HAAQcAAIYPH45Bg4yv/OqPQ8OGDcPEiZNwyimn4dhjj8O0accavi6XK8niVTGg78rS0UcfnVCh0a9fP4wdOxYTJ05Mum+srq5OODlW7LPPPvjZz34GWZY1JyhW2bx5M15//XUAwIsvvqhWPnz00Ue4+eab1efNnj0bv/71r9X/X3zxxYZhGOgLuGJwP/vss9UwrLj77rtxyimn4JRTTlErN04//XRrVirPSrNemyxVVVWFsWPHYsOGDQCAcDiM2tpaXHzxxVi9ejXefPPNhI1AOaDqffbZZ0nf5/HHH9fsQO1y7bXX4sYbb9T8rb6+HsFgEEDfZakHHngAsVgMANDR0YERI0ZoaoeAvp3xtGnT8NBDDwEAnn32WfzrX/9Sl71u3Tqcd955ePDBBwFoa3atupQ4fPhwbNu2DZ9++imCwaC6Duko66aYMGECXnvtNXz44YeamlY7bdu2Lasg+qMf/Sir96uqqjL8+7x587JaXjnp7u5W74uXl8UDpZX0v1Xx5Ey5XJ+LX//61/jhD3+o+dsJJ5ygNsdwOBzYunWrpubP4XBAkiS8+OKLmtcdcMAB+OSTTwD0HfB37Nih1qC/9NJLOOuss/DEE09g/vz5WLduHW699VasWrUKP/nJTwybUmVjwYIF+M9//qNekXvjjTcAACeddBKee+457Nq1C93d3ernqJxcKI466ih88skn2LBhA379619j165dmpB48MEHa54/ZswY9X4u+yrlmKG3xx4D1OYzr7zykuYx8SqUnr4S4z//eRb/+c+zhs/t378/vvrqqwxLnGjkyJEJVzYB4JRTTkH//v3VK1G7d+9OemVU0dvbm7Tp6I4dO3D99dcn/H3vvffG559/nmXpvyZu44X2rW99q9BFyIrtNcTp2uaEQiG0t7enbHtL9pswYYJ6/6GHHsJzzz2HvfbaC/PmzcPZZ5+tto3MVLomEFbWCgPA/fffrwnDdXV1AKA5OC9atEitwVDamf7lL3/B3XffrVnWcccdhyuvvFL9/2OPPZYQmv/5z3/iyiuvxDvvvKM5y051YpCJmpoazJ07F4ccckjS5+y9995JHxs7diy++93vorGxEeeddx6GDx+e9LmHHXYY5s6dm1N5i5FYc1+prPo9WkGpDc3WM888ownDSnt9sW3yqlWr1DCs7Nui0WhCGAa0zXecTic6OzsT3u/yyy8HAM37/vOf/8xpPUQff/yxGnaVMAwATz31lLrPUZq87NixI6EvRFdXlxpOv/rqK9x6662a8HXsscY1q0Buvw2jKzOKceOMa0qtMmbMWMuWNWXKFMO/n3jiifj2t7+t1m5nqn///pq+DEaOOeaYrJatpw/VP/zhEpx//hxLlq13wQVuXHvt9Zg27TgAiZURYhONUmJLDXE8Hte0pU3VCSEcDquXn9xuNxYtWgSXy2VHsSgF/aWqf//733jllVdw9NFHY8SIETjjjDPw/vvvY8OGDejp6VGfN3DgQHWHesIJJ2DfffdFVVUVBg0ahNGjR2PffffFjh078PbbbyMWi2H37t348MMP1ROlY489Vq2BtYK+U57+4AZoD8hiDZLegw8+qNb+AsD//d//GT7vtttuS+iYaOUl+iOPPBJHHnkkPv74Y7z77rv45JNP0K9fP81n/MEHH2Dr1q3Yvn073nnnHfXS2aZNm9DZ2YkjjjgCI0aMwOzZs7Fx40a88cYbmoPZ6aefjhkzZqQ8wGVK7NwzatQoNDQ0AOjrOKd06JgxYwaGDh2KTz75BNu3b0c4HE5YzvDhw3Hcccfh2WefTejcOWLECEybNg2ffvqp4XdNffQnQqecciqeeOLx///YCGzbttXS9zvvvG9gy5YtCIefT3hszpzcDtJic4FVq1ZhwoQJeP/99zWX/m+//XaMGjUKW7ZswX777YdDDz006WXqYcOGYfLkyXjxxRfxxBNPaCpxjjjiCLzxxhvw+/2oq6vDxIkTceSRR+L111/PuSPWq6++it27d+P73/++qd/u1q1bMXToUMiynNCBNp2ZM2fi17/+tVpBITYTyGVfddRRR2k6+oqmTTsW4XDfPmDy5CkYP/7rkPTEE4+pzV0mT56CYcP6OmTu2PE/PPxw3/Fg+PDhmDhxEuLxGOrrZ+Gdd97B8OHDsWxZ31UNSZKyLrfezJkz1f3Vxo0bUVNToz42evRofPe730VLS4v6t7333hsjR47U1BiPGDECsVhMc4Lxox/9CAMHDsRbb72FDz74ALW1tXj22WfxxBNPYNeuXXA4HJrmLrnQd8w99FAHJk2ajN27d+OBB+5L8qrsvPXWZhxyyKH48su+TtBWdzQtFMsDcSQSSTvaQjLt7e1ob2+H1+uFz+ezumhkktJRRV/rqXfCCSfg8MMPx5/+1Nd5Qqm50dcK77PPPuoZ49NPP60eSIYOHYra2lrLAvFTTz2FHTt2WLKsXNnRyVTsjKU3dOhQTS3+unXr8PDDD+PLL7/Ea6+9phl1QzRgwACcffbZSWtIcrF69Wr1/je/+U1N04WOjg68+eab6Nevn+ZAE41G0djYqPket23bhgceeMDwPbZu3ao5aVGkCkCVSP/9futbCxCLxfDiiy9owvB3vuPBSSedgra2lXj4YW0N6IABAxJGAdlrr72wc+dODBs2HO+913cp/Oyzz8UFF7jx+9/fpnkO0Nc8YebMmVmvx4YNG9S2kQDUdsp6yj4JAP773/+mXKbYAejJJ59EbW2t+n+xtvbCCy/UvC7VpX8zsul4lKypWjpr165NWjOfSw3l1KlTkwbi6dOPR0fHo9i0qRsvvvgCDj54NBoa+q5AdXdvVAPxqaeehmOOqcX//vc/XHHF1x2gL710Po466uvP6PDDj8D69V9/H0OHWnd18cILL8RNN90EoO+zOuCAAzSf14ABA3DNNdfggQcewGuvvYbPP/88ofnE1q1fb0eHH3645vdyyCGH4JBDDsGuXbuwceNGtdb/+OOPz/l3pJgyZYphM5Lzz5+DgQP3wT33/D3JKzPX1fU8urq0J7vV1YPR22tN/4BCsbTJRDZh2KgxfGtrq1qbRPm3ePFizJo1y3AoqD322AMTJ07Et7/9bdTX12P06NGaYXtuueUWvPTSSwmv++yzz/D4449rRgY488wzLS23WEM0atTBWLToCvV28MF9nSD22it58wIjkycnHiwmTZqiLlf5jEaN0rbRO+ecczItvqWOOeYYfO9738OMGTMMm60ccMABOP744/G9733PljAMaC9h6y85Kk1ZlMvR1113Ha677jrceeedhp0B9fSdN/UqfdQbvVGjRmk6An3++eeYN+9S7L+/9nt55JF/AQAaGuZqavSAr4fE6+s41bfNK0FXCcOHHTYeDQ1z0d29Ec8//5zmOQAwcuSonNYjlw5gVrOqZq+Q9tlnn5z2Veedd556f8OG9QmPX3zx182VHn74n2hrW4l4PK650rNpUzeee26tJgyfffa5mjCs6Oj4NwClg1tNwuNW6ejowBNPPKFphrDnnnuioaEB06ZNS/naww47DGeffXbC319//XUEAgH1CuuMGTOSdsDLRv/+/TFp0mT1/x999PXJ0xlnnImWllY4HGOMXqpKtu89+ODRhttuv35ft2UfPrz0Oy5bWkM8Z84cNQxLkoSlS5cmPYNXeDweeDweBAIBtLS0qEPytLe3o7m5mTXFBTJjxgzMmDED27dvx8cff4xDDz0U27ZtM2yDevLJJ2PXrl1qALrvvvvwyCOPYOTIkdh7773xySefJNQ0NzQ0aDp2WOHNN99U7w8ePBjTp399hr9hw3q8887b2Lkzs84LL764LuFvL730Ar773Sux5557Yv36N/Dee+9pOlJMmjQp6zbXVpIkCaeffjpOP/10fPTRR5ptM90oFVZI1QHlwgsvxIoVKwBkF3L0NZV33XUXxowZgxNOOAGAdSMZlJPa2lp15IE//jGAK674Hq666gf43e9uRSzW9/t9990t+N73FuPww48wHBO6X79+iMc/0RxsRQMGDMCyZTfj1VdfMXw8XXvKdPQdwMTa5k2bNqkdiyZMmIBdu3bh3XffTXvVaOLEiVi/fj2++OILTQencePGweFwYNOmTdi0aRP69eunaWqQS5hRxv0G+rbH5cuXq///zW9+g//+978YNWoUrrvuOrz77rs47LDD8MADD2DlypUJy9p///0TOj0DfaMJKMffW265RW2OdPLJJ6vb3KxZs7JeB0DbQXPdugheffUVTZCtqRmH73//R/jDH27Drl278PDD/0y48vDPf2qv8MyadYZak6x/ntIEY9asM0ydOOdC6QQ+evRo7L///urwlGJIPuaYY3Deeedh7dq1ePzxx7Fz5068+eabuOWWWzBy5EgMGjQIO3fuxLZt2zTf+bRp03L+7I2ceOKJWLeu7wrsPff8A83NS9UOmCNHjsR11/0cK1fejUceMe5YPXDgwIR+Mt/73vdRWzsVQF9z2Pfe24bx4w/H5s1RbNiwAX//e99Qb6n6spQKywJxIBBQw6wkSejs7MyolkYJxk1NTQgEAgD6aooXL15c1EOWlbv9999frWFM1SGrvr4ew4YNw+OPP46PP/7Y8JIS0NdJrL6+PuWyspWqc8jhhx+Bzk5zIzSYsXXruzj0UIe6s9mx4+ud3YwZx1v2PlYZMmRIXkKwYufOnSl7gA8dOlRzYM7FlVdemVDLnWqCj0oljnn8/PPPYdmy/6Gx8UL87Gc3YOXKu7F2bV9v/u3btydcDlXs3r0bL7yQvO3sa68lXj6fPn0G1q79T46l76PfxkeN+rrWqn///mogTtZEyIg43rUYdk488UQAfSFg06ZNCcNzZTvOONBX4aOYNGmSesUE6Gs29N///hdbtmxBv379cP755wP4uomFPhQbheHvfe978Hg8aqfloUOHqgFM3ObEGl4rLFt2My655Juor//6RGXKlGNw3XU/x9///rekJ0oAMHDgPrjoonk4+eRTNX//9NNPcd99qxEK9Q0POXr0IWhomIuXX068EmmFM888E+vXr1ePX+LwdYohQ4bg1FNPVb+T6dOn47DDDkMwGFSb2bz77ruaYUeBvuPpKaecommWYyWx7fOGDevxi1/cgAsvnKe52jN37kUYPXo0Vq68B/F4TPN68er+pEmT0dAwF6NHf92hW5Ikte32oYc6cNddfWH44IMPtv0EJR8sC8TiwOzLli3L+pKl3+9Hb2+vusNoaWmB3++3pIxkr6OPPhpHH300Xn/9dfT09ODDDz/Erl27sO+++2L48OE47LDDEob/sVKqkH3ccdNx991/RyzWi/33PwB1dV+Pvbx+/Rt45ZWXAfTVYA0ZMgSff/45qqr6aWrC9txzTwwfPhy1tdMQiYTx0EMPGgaHdJfzK8Fee+2FQYMGJQz/JvrDH/6g3hTjx49XOwcCfcNDiZ04zznnnKRDhYlhSRwCj4y9+uor+NnPfoIjj5yAMWPG4vDDj8Bbb21OCJ0jR47E5MnH4JlnnlKHJ1OMGDECkjQIe+yxB6LRKD799OtwNn784bjssvk4+ODRlgXiVNv48OHDk9aWZqO3txfV1dX49NNPAWiHxxowYEDaq5+piM2J9E3T5syZg5/+9Kf48ssv8Z3vfCer5Ysdfa+66ipNW2i73XXXX/Cvfz2Eo46aiIMOOgi7du3C22+/lRCGa2pqsOeee2H9+jewe/dufPbZDrS1rcQbb7yB4cOH46uvvsI777yDdevCmpORn/+8Rf+WlhoyZAguvfRSvP3223jzzTexbds27NixA3vuuSeGDh2KMWPGGE70M2TIEMydOxdbt27Fhg0bsHXrVnz66acYMGAAhgwZAofDkfcJKzZt6kZLy88xbtxhGDduHN59910MGzYcGzas14Th/fbbX912Dz/8CDQ2XoiamnFJltonGOzAm2/2jWxywgknWTbhTiFZFoiVjlIOh8P0RBbJ3HHHHWogXrVqFQNxiVFGRcg3sXOI0WXS2bPPx1/+8ids3/4J3nxzAxYuvFydNlcJxJMmTcYVV1yJDz54H0uWaMc53bVrF9566y289dZbCcs+8MADs+7wUq4mT56cdoKSyy+/HCNHjlSn2tWPayqG4SuuuCLl5CniBBOVPhFHOueee556qfr111/D668nr1E1qulSbN26VdOZCOhrl9rQMBennWb9aEHpOoBNnTpVHUMYAM444wzsv//+6OnpSZjS2MiYMWNwzDHHYODAgeqJrbJ+Yk/6XKfaThUeJEmC0+lM2xnQLP2EOMr4wFY79dQ6bNrUjbfe2oyPP/4ITz1lvO2fcsqpuPTS+WqFxObNUfz973/Dhg3rsX37djz77NOGrzv22ONwySW5TW2cidGjR2c1OdGIESOKYv9z7rmz8fDD/8Tu3buxceOb2LhRaVL49dCDfdvqhTjttDrcfPMv8MYbr2P9+jewYcP6lIH4iSce09QOn3nm2Vi+/Pd2rk5eWBKIxY5SufQgVkiSBLfbrY5PHI1G2WyC0hI7hxiF09NOq8Nbb23GY4+F8Nprr+L//q8ZZ555Nj744OvZrt59dwseeOA+3Hff1yMknHnm2Tj88MPR1fU8Nm58U+0VLEmD1LPsuXPn4fe/t26q1XJw+umnq4H4xRdfTNp55xvf+AbOOusstLe346mnnsIzzzyj1giNHj0as2fPxuzZs9MeZJRpZIcOHYqxY60bo7QczZnTiJNOOgXPPPM0Xn31FWzduhX/+9+nqK6uxqGHOtQhlV5//XVs27YNn322A0OGHPj/a8eOxOeff45XXnkZW7Zswfbtn0CSJIwefQgmTZqMk08+1bb2hGeccYbhaBeKQw89FJMmTVI79v773//G5MmTNZMu9O/fH3vssYfhkIuDBg3C7t271TD88ssvq1c5xOcnG+3FrHQTSjz44INYtGgR7r//fgB9nc9PO+00bNy4UV23YcOGYdKkSZqZJs8991wMHToUL774IjZv3qzuBydOnKi2bx02bJgtgXjYsGGYP//bWLv2P4hEutDTswkffPABBg4ciIMOGoYjjzwS06cfn9Cx69BDHVi69FpEImF0dT2P7u6NaifNgw8ejcMPPxzHHjsdhx9u/fTr5ay+fhZcrpl4+uknTW2r8+d/G1dfvQQAsHLl3XjttVdx6ql1OOKII7Hvvvvi888/x4YNb+DJJ5/QXBmdPz+7qxjFyPJh18aNS13Nbta0adPUWuLu7m4GYkrrwAMPVIeMi8djeOSRh3Hmmdrevt/85rcwYMAAdHT8G59++ina2rTt8bZs2aIJw+eeOxtz5vSNeDJlytfNgF5++SX86letAPou/U2ZYs3g6uXkm9/8JpYuXQqgb3rPKVOmGPa+Bvqao8ybNw9vvPGG5vLo22+/jcmTJ6cNw7/61a/UGkD9WNRk7KCDhuH88+dkPXj/OedY2/7UrBEjRqhXaSKRSELzPKfTiX79+uGFF14AgITJOL766itNIB0yZIg6ru+6deuwbl1iR1qrmal5vP322zFw4EDcfffd6O3txb333qt5/L333tOE4XTDd5111lkA+oJrshnmrDB9+gxNh2aznM5aOJ32tK2tVIMGDcI555xnalsdPnwEfv7zFvj9t+Ptt9/Cyy+/lLKd9oEHDkVT0yLbJ2DJJ9tnqiPKJ7GTzcqVd+Puu/+e0CZy3rxLcNVVP8SBByYfCaK6uhqXX/5dNQyLQqE1ahgG+mqHKVG/ftrdS3Nzc9Ixp6PRKK666ir1oD916lT1MY/HY9i7HgDef/99/OQnP8Gf//xnAH0n0gsWLLCi+FSkxH4IL730Ep555pmEbXzKlCk4/fTTU07esNdee2H69Ok499xzMWvWLIwcOTLpcwcNGmTphFHHHXecej/ViCi//vWvsXz58pRDI55++ulpZ83r6elRmzVaNd00lZ/Row/BDTf8Aued942EIRkVe++9N8444yzceONNCUMzljpLaojFsYRzmRddlOlMPETA1yFswIA98cUXu/Doo4+gszMIp7MWo0YdjKqqfnjvvW146aUXNB2ETjrpFAwfPhyPPRbChx9+iN7eXvzhD7/Dc8+txejRh2DAgAF4//338corL2s62i1adDnGjz+coxqYdPXVV8Pv9+O4447DRx99hDFjxuC1117TtP894YQT1CHZlE4oP//5z/GnP/0Jxx9/PA4++GDs3LkT69ev1zTXAqAGY6ocb775Jt58800ccsghGDx4MPr374/t27fj3XffVTvEAX3tg6urq9Hd3Y14PI6dO3di7dq1eOeddzBkyBDsueeeqKmpwbvvvqsJ2JMnT7Zsel3F+eefr04HvX594vi9+ueef/75WL9+Pa644gp1VIyxY8di9erVptqrijNpnnbaaZqOrESiqqoqXHCBGxdc4MYbb7yOLVvegcs1E2vWPIqRI0dhwoSjEqZqLheWBGLxkpV4CScXweDXQ2RxKmfKVE1NDfbZZx9EImF88cUXeO65tYbPGz/+cMybd4nars3lmom//e1OPPNMX8eOcLhLHftSdMghh+Kiiy7GkUdOsG8lysgll1yCxx57DFu2bFHHdTVy8cUX45prrlH/HwgE0NraijfffBNbtmxBW1ub4evOP/98/OQnP7Gl7FS8ampq1KHWknV4HTx4MI499lh1hIpJkyZh7dq16sgLyWbk3H///TFt2jQccsghCY/lShwtY8uWLbj55ptx9dVXp3xNW1ubZoi4TZs24be//W3SUVcUF198sXriOHfuXM3QXESpHHHEkTjiiL4O8jNnnl7g0tjPsjbESie4aDSKQCCQ00gToVBIvbzDGacoGwMGDMCVV/4Ar732Kp57bi3efHO92lN+6NCDUFMzDtOmHasOOK7Ye++94fEswmmnubB27bN444038P7772HXrl0YMmQIxowZi9raqZgx44RCrFbJmjhxIq6++mq0tbXh8ccfx2uvvYYPPvgA++yzDxwOB4477jicd955CZMdzJgxA/fddx8eeughBINBvPLKK2pbyfHjx2PatGk4++yzMWnSpEKsFhXYSSedhCOOOAKbNm3Ctm3b8Mknn+Crr77Cvvvui6FDh+KQQw4x7GA5ffp0jB8/Hps2bcLWrVvxySef4IsvvsA+++yDIUOGYPTo0Zpxm+32m9/8Bj09PbjqqqswYYL2JPuVV17Bb37zG7W50bRp07D//vujs7MTd955J9566y386Ec/Shjbtru7G7fddpsahmtqanDDDTdoJoggoq9ZFohnzZqldoJbsmQJamtrswqz8XgcXq9X/f/cuYkz1hCZNWHCUZgw4aiMX9c3bmP5dBYoFg0NDVlNy37OOecUfDpsKk5Dhw7NambIwYMH5zxahBWqq6vR29uLBx54AA888ACOOuootRZ348aNCZOM3HHHHRg2bBgaGxvx5JNPorOzE52dnRg/fjzGjx+PPfbYAz09PQmdCf/4xz9CkiQGYqIkLOtU5/F41AAcj8dRV1eX0L4vnWg0irq6Os2YxgsXLkzzKiIiotJ02mmn4dvf/rb6/1dffRUPPvggHnzwQU0Y9ng82Lp1qzoG8qpVq3DllVeqj2/YsAEPPfQQ7r//fk0Yvuiii7B+/XrDySSI6GuWDrsWCARQV1eHeDyOeDyO+vp6uFwuLFq0CDNnzkza4zcUCmHlypVYtWqVZnzEO+64I2UvYSIiolLWr18/tLS0YNGiRXjooYcQDofx9ttvo6qqCqNHj0ZtbS3OPfdcw1k+ly5digULFuCf//wnnnvuObz11lv46quvMGrUKBxzzDE4++yzLRsKlajcWRqInU4nOjs71VAM9IVdpabY4XBoGvT39vaqtcF6fr+fnemIiKgiHHLIIerIE5k46KCD8J3vfCfraZ6JqI/lE3M4nU688MILWLBgQUKTiWg0mna+a4fDgdWrV7MzHRERERHlhS0TczgcDgSDQbS1tcHtdpt6jdPphN/vR09PD8MwEREREeWN5TXEIrfbrQbiUCiEcDic8Jza2lpMnTqVbYWJiIiIqCBsDcQil8vFNsFEREREVHQsaTIhjgyRT4V6XyIiIiIqH5YE4q6uLtTW1mY87nC2QqEQamtr0dWVOKUuEREREVEmLAnE1dXViEQiqK+vR319vW3BOBQKqe8RiURQXV1ty/sQERERUeWwJBA7nU6Ew2E4nU41tI4ZMwaBQCDnZg3xeByBQAC1tbVq2Bbfj4iIiIgoF5YNu6aEVJ/PB0mSEI1G0dTUhEGDBqG+vh6tra0IhUJpA3I8HkcoFEJrayvq6+sxaNAgNDU1IRKJQJIk+Hw+hmEiIiIisozlo0x4vV4sXLgQLS0tWLFihRpw9c0ojEacSNbUQpIkLF26FAsXLuTwbERERERkKVuGXVNqcpcuXYoVK1Zg+fLlCTPUmWln7HA4sHjxYgZhIiIiIrKNreMQS5IEr9cLr9eLaDSKVatWYePGjdi0aRO6uro0zSckScLUqVMxduxYjBs3Do2NjXA4HHYWj4iIiIgofxNzOBwOeL3efL0dEREREZEplnWqIyIiIiIqRQzERERERFTRGIiJiIiIqKLZ3oY4EAigt7c3p2VUV1ejtraWYw8TERFR2aiqqip0Eej/sz0Qr1y50rKpnDkeMRERERFZraSaTMTjcTQ3N6Ouri7nKaGJiIiIiIA8BOJgMKiZalkZm7itrQ3BYBA9PT2QZRnBYBB+v18zg53H40EwGITP54PH41H/HolEsGDBAruLTkREREQVwPZAHI1GUVdXh0gkAo/Hg82bN8Pn88HtdsPlcqmTb7hcLjUA+/1+AH3tj4G+6aD9fj96enrUYN3e3o5IJGJ38YmIiIiozNkeiBcsWIB4PA6XywW/32+q7a/H44HP51Nfr3A4HFi9erX6/2AwaH2BiYiIiKii2BqI4/G42qFu7ty5Gb22sbERQF8NczQaVf/ucDjgdrsBAM8//7w1BSUiIiKiimVrIO7q6lLvjx07NqPXKk0pAKC7u1vz2LRp0wAg5+HciIiIiIjyNspEpuGVo0gQERERUT7YGoinTp2q3u/o6MjotStWrFDviyNPAH1jGwOZ1zoTEREREenZGoglSVLDbCAQUEeNSKe9vR0tLS0AoBluTVmOMrqE0nSCiIiIiChbts9U19raitraWgBAU1MTnn/+ecyaNQtTp07VtBOORqNYs2aNZmY7ZWY65fEFCxZoHlM63hERERERZcv2QOx0OuH3+9HU1ATAfE2xJEno7OxUQ3N3d7dmCug77riD0zcTERERUc7y0qnO4/EgHA4ntAVO9fzNmzerk3CIXC4XgsGgOvQaEREREVEubK8hVjidTgSDQUQiEQSDQTz//POakSdmzZqF6upqNDY2Gtb8Tp06FT09PZpmFkRERFR5qqqqCl0EKjN5C8QKp9NpWPObjiRJbCJBRERERJbLeyBWxONxzcQdU6dOZeAlIiIiorzLayCORqNYvnw5Vq1apZmOWeFwONDY2IjFixezaQQRERER5UXeZqoLBAKYMmUKWltbDcMw0BeYW1tbMWXKFNNjFhMRERER5SIvNcStra1obm5W/y9JEmbOnKmZWOP555/HmjVrEI/HEY/H0dTUhN7eXni93nwUkYiIiIgqlO2BOBQKqWFYkiQsW7YsYfY5USAQwJIlSxCPx9Hc3Iza2lrTw7UREREREWXK9iYTt99+O4CvJ9pIFYaBvjGIOzs71Q52yuuJiIiIiOxgeyBub28HACxbtsz0cGtOpxPLli3TvJ6IiIiIyA62BmJxquXGxsaMXis+X1wOEREREZGV8jbKRKZjDHNMYiIiIiLKB1sDcXV1tXo/2VBryYjPF5dDRERERGQlWwOx0+lUa3pXrVqV0WuV50uSlNVUz0REREREZtjeZEJpC9zc3Gx6so1AIKAO1ZZp22MiIiIiokzYHoiXLl2q1hI3NTWhqakJkUjE8LmRSER9DtBXO7x06VK7i0hEREREFcz2iTkcDgdWr16NOXPmIB6PIxAIIBAIQJIkTJ06VX1eV1cX4vG4+n9JkrB69Wo4HA67i0hEREREFSwvUze7XC51Ug6ldjgejycdTs3pdCIQCLDtMBERERHZLi+BGOgLueFwGO3t7ejo6EA4HNY0nXA6naitrcWsWbPgdrvzVSwiIiIiqnB5C8QKt9vNwEtlp6qq0CUgIqpMsiwXughUBvI2MQcRERERUTFiICYiIiKiimZZk4nm5maEw2GrFqeqra2Fz+ezfLlERERERICFgTgcDicdNYKIiIiIqFixyQQRERERVTTLaoiDwaBViyIiIiIiyhvWEBMRERFRRWMgJiIiIqKKxkBMRERERBWNgZiIiIiIKhoDMRERERFVNAZiIiIiIqpoDMREREREVNEYiImIiIioojEQE5EhWZYLXQQiIqK8YCAmIiIioorGQExEREREFc32QFxfX4+qqiq0trZm9LqmpiZUVVWhubnZppIRERERERVxDXE4HNb8S0RERERkhz2sXFg0GsWqVas0f+vu7gYAdHR0mF7Oxo0bEYlErCwaEREREZEhSwNxd3d30iYOoVAIoVAo42XW1tbmWiwiIiIioqSKtskEADidTixdurTQxSAiIiKiMmZpDfHUqVMRDAY1f/N6vYhEIvB4PJg7d67pZVVXV8PpdFpZPCIiIiKiBJYGYkmS4HK5NH+rrq4GAIwbNy7hMSIiIiKiQrM0EBuZO3cuZs2axbbARERERFSUbA/EHo/H7rcgIiIiIsqa7YFYL9ORJtiWmIiIiIjslJdAHI1G0dLSgkAgkPFrXS5XQkc9IiIiIiKr2B6Io9EopkyZgng8bvdbERERERFlzPZA3NLSognDbrcb06ZNM/16ZZQKIiIiIiI72B6IlWYSkiShs7OT7YGJiIiIqKjYOlOd2IFu6dKlDMNEREREVHTyNnUzxyEmIiIiomJkayCuqamxc/FERERERDmzNRA7HA44HA4AQEdHh51vRURERESUFdubTCxbtgwAsGLFCkQiEbvfjoiIiIgoI7YHYrfbDb/fj3g8jrq6OrS2tpblmMS1tbWoqqpKe6uvry90UYmIiIhIkJdh13p7e+FyuRAKhdDc3Izm5mY4nU5TYwzX1tbC5/PZXcycdXd3F7oIRERERJQF2wPxypUrNcOvKcqp+UQ0Gi3LWm8iIiKiSmB7IK4EYu2wLMsFLAkRERERZcr2QBwMBu1+i4LbtGkTAHDiESIiIqISlLeJOcpZb28vAGDs2LEFLgkRERERZapgTSbi8Ti6uroA9E3goYxXXIo2btwIgIGYiIiIqBTltYY4Go2iqakJY8aMwaBBg1BfX4/6+nqsWrUKABAKhVBbW4tAIJDPYuUsHA4DAIYMGYLW1lYMGjRIM9RaU1MT2tvbC1xKIiIiIjKStxri1tZWNDc3p31eJBJBU1MTbr/9dnR2dkKSpDyULjdKp7pk6xcIBBAIBOByubB69WrDdXr99dcT/sYOekRERET2y0sgbmpq0tT6ulwuzJo1C8uXL0c0GlX/Xl1dDUmSEI/HEYlEUFdXp9a+Fqt4PK4Zcs3r9WLx4sVqE5D29nbcdNNNiEQiCIVChuvk8Xhwxx135LPYRERERPT/2d5kQqkdBfpmrYvFYggGg/B6vaipqdE81+l0YvPmzfB4PAD6aotbW1vtLmJOxCHX2tra4PP5NO2h3W43wuEwXC4XgL510jcJ+eSTT/JSViIiIiJKZHsNcUtLC4C+YNjW1pb2+ZIkwe/3Y9OmTQiFQli+fDm8Xq/dxcya0+k01bThjjvuwJgxYwAAHR0daugH+iYvufTSSwEAVVVVGZfhnHPOyfg1RERERNTH1kAcjUbVJhHXXHNNRq9dtGgRQqGQuoxSHoUCABwOBxwOB6LRqDq6hoihloiIiKgwbG0yITYnyHTSCrfbbbicUqZvIkJEREREhceJOXKkDK3W0NCQ9rlKsB88eLDdxSIiIiIik2wNxGKNaCQSyei1+tEnipVS871mzZqUzxObj9TX19tdLCIiIiIyydZArLSbBYCbbropo9cqk3VIkpRxc4t8WrRoEYC+4ddSjbM8Z84c9f7ixYttLxcRERERmWN7kwkl/LW3t5seQi0UCqnhsrGx0bayWcHj8aiBvbW1FQ0NDZra8FAohPr6evVv+mHZiIiIiKiwbA/EXq9XDYzNzc2or69HIBDQTGYB9NWwtre3o6mpSW1SIEkSli5dancRc9bZ2amOM9ze3o7a2lq1bXF9fT1CoRCAvjBczEPIEREREVWivMxU19nZibq6OnW2tlAohKamJvXx5ubmhOYGkiRh2bJlJVGbKkkSgsEgAoEAOjo60N7ernnc5/Ohvr6+qJt+EBEREVWqvARiSZLQ2dmJFStWoKWlJaF2WM/lcqG1tbXkAqTH49FMuEFERERExS8vgRjoC8VerxcLFy7EmjVrsGnTJnR0dKiPV1dXY9q0aaxJJSIiIqK8ylsgVkiSpE66wfa0RERERFRonJiDiIiIiCoaAzERERERVTTLmkw0NzcjHA4DgKZDnPj3bNTW1sLn81lSRiIiIiIiPcsCcTgcVsfb7e3tNfw7EREREVGxYZMJIiIiIqpoltUQB4PBjP5ORESVRZYLXQIiImOsISYiIiKiisZATEREREQVjYGYiIiIiCpaXgNxNBpFa2sr6uvrMWjQIFRVVam32tpaNDU1IRAI5LNIRERERFTh8haIW1tbMWbMGDQ3NyMUCiEej2sej0QiCAQCaGpqwpgxY9De3p6vohERERFRBbNslIlUjGp+HQ4Hampq1P93d3cjGo0C6KtJbmhogM/ng9frzUcRiYiIiKhC2R6IA4GAGoYlScKyZcvQ2NgISZISnhuPx7Fq1SosWbIE8Xgczc3NGDt2LNxut93FJCIiIqIKZXuTiZaWFgB9YbizsxMej8cwDCvP8Xg82Lx5MxwOBwDgpptusruIRERERFTBbA3E0WhUbQaxcOFCOJ1OU69TapKBvrbF+vbGRERERERWsTUQd3d3q/dnzZqV0WvFZhJdXV2WlYmIiIiISMRxiImIiIiootkaiF0ul3o/HA5n9NpIJKLenzp1qmVlIiIiIiIS2V5DrAybtnz58ozaAiud6VwuV9JOeEREREREubI9EC9duhROpxPRaBR1dXUIhUIpnx+Px9HU1IT29nZIkoQ77rjD7iISERERUQWzfRzi7u5uXHPNNbjpppsQiURQX18PSZIwderUhI52HR0dmsA8c+ZMrFq1KumyGxsb1eHZiIiIiIiyYXsg9nq9CbXC8XgcoVAobW1xe3t7yimca2trGYiJiIiIKCccZYKIiIiIKprtNcStra3o7e21ZdkcfYKIiIiIcmV7IDY7Ox0RERERUSGwyQQRERERVTQGYiKLyXKhS0BERESZsKzJRHNzszobXWtrq9pUQvx7Nmpra+Hz+SwpIxERERGRnmWBOBwOq8OoiZ3oxL8TERERERUbNpkgIiIioopmWQ1xMBjM6O9ERERERMWANcREREREVNEYiImIiIioouUtEEejUTQ3N2PMmDGor683fM6gQYPQ0NCAQCCQr2IRERERUYXLSyAOBAKYMmUKWltbEY1Gkz4vHo+jvb0dTU1NqK+vRzwez0fxiIiIiKiC2R6II5EIlixZogm3tbW1hs91OBzq/VAohLq6OoZiIiIiIrKV7YH4pptuUkOtz+dDLBZLOtFGT08PwuEwXC4XgL4wvWLFCruLSEREREQVzPZA3N7eDgDweDzwer2QJCnl851OJ4LBoBqKW1pa7C4iEREREVUwWwOxOEPd0qVLM3rtNddcA6CvXXEkErG0XEREREREiryNMiG2DzZDqSEGtFNBExERERFZKW+BmJ3jiIiIiKgY2RqIxVreVatWZfRape0xAEydOtWyMhERERERiWyvIXa73QCAJUuWmG4LHI/HcdNNNwHoC9XpOuIREREREWXL9kAsdo6rq6tLOTlHPB5XJ/FQwrPyeiIiIiIiO+xh9xs4nU74/X40NTUhHo+jubkZzc3NkCRJ0xSiu7s7ISj7/X5NswsiIiIiIqvZHoiBvjGIx44diwULFqihNx6Pa4ZlE0mShDvuuENtbkFEREREZJe8BGKgry1wT08PAoEAOjo60NXVpakRdjgcmDp1KmbNmoXGxka2GyYiIiKivMhbIFZ4PB54PJ58vy0RVZCqqqpCF4GIiEpI3gOxIh6Po6urCwBQU1OT8cQdRERERERWyNvEHAAQjUbR1NSEMWPGYNCgQaivr0d9fb06RnEoFEJtbS0CgUA+i0VEREREFSxvgbi1tRVjxoxBIBBIOuwaAEQiETQ1NaG2tpaz2xERERGR7fISiJuamtDc3Kz+3+VywefzJTSTqK6uVjvTRSIR1NXV5aN4RERERFTBbA/EgUBAbQLhdrsRi8UQDAbh9XpRU1Ojea7T6cTmzZvVTneRSAStra12F5GIiIiIKpjtgbilpQVAXxhua2tLO5yaJEmaCTmWL19udxGJiIiIqILZGoij0ajaXjjTKZgXLVqUsAwiIiIiIqvZGoi7u7vV+06nM6PXirPUicshIiIiIrJSXoddIyIiIiIqNrYGYrHTXCQSyei1YjOJ6upqq4pERERERKRhayB2OBzq0Go33XRTRq9VJuuQJCnj5hZERERERGbZ3mRi8eLFAID29nbTQ6iFQiF13OLGxkbbykZEREREZHsg9nq9ag1vc3Mz6uvrEQgEEmahi8fjaG9vR1NTE+rr6wH01Q4vXbrU7iISERERUQXbIx9v0tnZibq6OkQiEYRCIYRCITQ1NamPNzc3a2ayA/rC8LJlyxJmsyMiIiIislJeRpmQJAmdnZ3w+XxpJ+YA+qZ27uzsVGesIyIiIiKyS15qiIG+UOz1erFw4UKsWbMGmzZtQkdHh/p4dXU1pk2bhvr6enaiIyIiIqK8yVsgVkiSpE664fV68/32REREREQanJiDiIiIiCpa0Qfi9vb2QheBiIiIiMqYbU0mQqEQwuGw+v9UbYPj8Ti6uroS/t7R0YFwOKw2sSAiIiIisprlgbi9vR1LlizRTL2scDqdCAQCajBubW3F8uXLDZ+rcLlcVheRiIiIiEhlaSBub29HQ0ND0scjkQjq6urQ2dmJlStXmp65joiIiIjILpYG4iVLlmj+73A4UFNTA6CvCQXQ1zxizpw5CbXC4nOBr4dhq66utrKIREREREQalgXi9vZ2NeRKkoTVq1drmjvE43EsWbIEgUBAE4Z9Ph8WLlxoasIOIiIiIiKrWTbKxKZNm9T7S5cuTWj7K0kS/H6/Zipml8sFr9fLMExEREREBWNZIBZnnWtsbEz6vJkzZ6r3586da9XbExERERFlxZZxiMVaYL1x48ap98eOHWvH2xMRERERmVb0E3MQEREREdmJgZiIiIiIKhoDMRERERFVNAZiIiIiIqpoDMREREREVNEYiImIiIioojEQExEREVFFs2zqZlF9fX3Sx7q7u9X7Xq8X1dXVKZdVW1sLn89nWdmIiIiIiES2BOJQKGTqeZFIxI63JyIiIiIyjU0miIiIiKiiWVZD3Nrait7eXqsWp0rXpIKIiIiIKBeWBWKn02nVooiIiIiI8oZNJoiIiIioojEQExEREVFFYyAmIiIioorGQExEREREFY2BmIiIiIgqGgMxEREREVU0BmIiIiIiqmgMxERERERU0RiIiYiIiKiiMRATERERUUVjICYiIiKiisZATEREREQVjYGYiIiIiCoaAzERERERVTQGYiIiIiKqaAzERERERFTRGIgtFI/H0draikGDBqGqqkq9tba2IhqNFrp4RBVJluVCF4GIiIocA7FFIpEIDj30UDQ3NyMej2sea25uxpgxYxAKhQpUOiIiIiJKhoHYAtFoFHV1dQlBWK++vh6RSCRPpSIiIiIiMxiILdDS0qKGYYfDgba2NsiyDFmWEQwG4XQ61ed6vd5CFZOIiIiIDDAQ5ygejyMQCAAAJEnCY489BrfbrT7ucrnQ2dkJh8MBAAiFQqwlJiIiIioiDMQ5WrFihXp/6dKlavAVSZKEpUuXqv9fuXJlPopGRERERCYwEOdo48aN6v36+vqkz2tsbFTvh8NhW8tEREREROYxEOdo06ZNAPpqgcW2wnri493d3XkpGxERERGZIFNOHA6HDEB2Op1pn+tyuWQAsv5j9/v96t9544033njjjTfeKv02Y8YM+T//+Y9d8S0Ba4gtUl1dnfY5Y8eONfz7XXfdZXVxiIiIiErWf/7zH0yfPj1v77dH3t6Jkrr66qsxcuTIjF/30UcfYciQIbjnnnsAAKNHj8aJJ55odfHS+vjjj/Hoo48CAOrq6jBs2LC8l8EKmzZtwnPPPQcAuOCCC7DXXnsVuETZiUQiWL9+PQDgoosuKnBpstfZ2Yn33nsPI0aMwKmnnlro4mTt7rvvBgAceeSRmDJlSmELk6XPPvsM999/PwBgxowZhp2HS8HWrVvx+OOPAwDOOussSJJU2AJl6bXXXsOLL74IoLS38WeffRabN28GUNrroWzjY8aMyWuAM9LV1YV99tkHEyZMyOh1siyrWeKYY47B4YcfntHrP/74YwwePBhbtmzBqFGjMnptMnfffTei0Wj+9jd5q4suU1Y0mcjVySefLAOQL774YkuXa1ZXV5e6XqFQqCBlsMKf/vQndT0++OCDQhcna9///vdt+Z3lW11dnQxAPuOMMwpdlJwo34XX6y10UbK2ZcsWdT3uuuuuQhcna//617/U9Xj55ZcLXZys3XzzzWWxjc+bN68s1kNZh8suu6zQRcnaV199pa7HL3/5y0IXpyBYQ5yjmpoaRKNRUx3lent7AcDys51bbrkFtbW16OnpsXS5RERERJWAbYhzpLQLjsfjKSfcEB+vqamxtAy1tbUA+i7XEBEREVFmGIhzNG7cOPV+MBhM+rxVq1ap95UAS0RERESFx0Cco4ULF6r3W1paEI1GE54Tj8fR0tKi/n/u3Ln5KBoRERERmcBAnCNJkuDxeAD0Bd/TTjsN7e3t6uOhUAh1dXVqUHa5XCkn8CAiIiKi/GKnOgssXboUq1atQjweRzQaRUNDQ9Lntra25rFkRERERJQOa4gt4HA40NnZmXZMy2AwyNphIiIioiLDQGwRp9OJzZs3w+fzJQRjn8+Hnp4euFyuApWOiIiIiJJhkwkLSZIEr9cLr9db6KIQERERkUmsISYiIiKiisZATEREREQVjYGYiIiIiCoaAzERERERVTQGYsqZOBV1XV1dAUuSm29961vq/QMPPLCAJclN//79C10ES/Tr17d7Kpf18fl8hS5C1kaOHKnev/jiiwtYktyceeaZ6v2JEycWsCS5aW5uLnQRLKFs2+IxpBRNnjwZwNf7rFIklv1HP/pRAUtSOBxlgizx05/+FLt27Sp0MXJ25ZVX4pBDDil0MXJyxRVX4Je//CX+8Y9/FLooOVm6dCnWrFmDp59+utBFyclf/vIXXHbZZXjnnXdw8MEHF7o4WfP5fNi6dWuhi5Ezr9eLfffdt9DFyMknn3yCRYsWqUGsVP3gBz/AX//6Vzz00EOFLkpOrr/+esyePRsvvfRSoYuSk9///vd45ZVX8L///a/kt5FsVMmyLBe6EEREREREhVK69ftERERERBZgICYiIiKiisZATEREREQVjYGYiIiIiCoaAzERERERVTQGYiIiIiKqaAzERERERFTRGIiJiIiIqKIxEBMRERFRRWMgJiIiIqKKxkBMRERERBWNgZiIiIiIKhoDMRERERFVNAZiIsq7SCSCQCBQ6GJYIhKJIBQKIRQKFbooWWttbUU8Hi90MXIWiUTQ3NyM+vp6NDQ0oLW1FdFotNDFylgp/5bKTSQSKYttAwDi8Tjq6+sRiUQKXZTiJBOlEA6HZa/XK7tcLtntdss+n0/u6ekpdLEyEovFZJ/PJzscDhmADECWJEn2+XxyLBYrdPEy4vP5ZKfTqa6H0+mU29raCl2sjITDYVmSJBmA7Pf7C12crLW1tWl+UwBkh8NRct+Hx+NRf0ultj2IvF6v5rsQby6XSw6Hw4UuoinK91HK20a5UPZVpb5tKJRjhyRJ6vagHB9JlhmIKalyOMDEYjFNgNTfSmVHl249Sung2dbWVrJlV/j9/qTfhSRJJfGbUuhPsEqp7AolRCrr4HK5Ek5WAJTEgV8sdyluG+VE3M5LddsQiesjSZIcDAbV7d/r9Ra6eAXHQEyGyuEAI4ZISZJkr9crB4NBua2tTXa5XCWzo9Ovh8fjkX0+n+z1etWaVgByMBgsdFFNCYfDJR3oxYOKy+WS29raZL/fL7tcLk3NS6lwu90leZKo8Pl8SX9HwWBQs60DkD0eT4FKao64PqW2bZSjUt42jBidzJfifssODMSUoFwOMEo5k23sYg14MQf7VOvR09OjhmK3212gEmZO3BGX0oE/FoupZTb63ZdacyJZ/np7F7+LUjrwKyfqqbZhfcgs1n2WLPftY0v5hLHc6I93pbRtJMOTLmMMxJSgHA4wYi1kqjNfZWfncDjyWDrzxINjsvUQmyCUCqXG2+/3l1QoVn73xfp7yYby+3G73QlXhor9wC9u5+mukOhrxoptn6VI1hyn2LeNcmV0ZbQUto1kjJrfsYa4D0eZII1IJKL2yq6trU36PK/XC7/fr/4/EAigqanJ7uKZFgwGAQBOpxNOpzPp82bNmgUARdsTPRwOA0i9Hm63W/P/UugVLf62Ojs7IUkSAKCpqamoR594/vnnAQCLFy9O+pxAIID6+npUVVVh0KBBaGhoKOp1mjp1KgCgq6sLfr8fHo8HQN/vqK6urqh/S729vaaf6/F4EvZZzc3NdhQrJytXrlTvO53Oktg2ynVUjFAopDk2uFwuAKWxbSSzZs0aRCIRSJIEn88HoG/0ibq6Oo4+UehETsVFrJE00yZVX5tRLA3zlZpfl8uV8nli+YuRUiPpdDqTPkepJZMkSVPbWswjHijrpVyFEEeegK42LBaLFU3thfK7Mrp6UsodOPXbQKqa4mJqqx6LxTLe9+j3WcW0jRh14kq1bRSDch0VQ789K+tXaldRjPj9fnWfqu9oVyz72kIozhRABVMuBxhlp5Xu0raZwFlIYtOUZO1T9Z2i9LdiPFApJ17iCYvRgV85KBXLjlr5XelPtPQHz2QdUYv1AKoEfTHsGh34lW29mJobKJ9xJqN7iPssh8NRNN+J0q9B/zsp5lBcrqNiiP0z9OtVDqFYxFDch4G4woXD4YSNuRQPMPpaK7E8qXbSSpgspgO8SGwjadRpTj/igd/vl4PBYMIIFMVwkiJSTrwkSdL8XX/gFw+2xXD1Qfy8xRMU5QCpDGUkCgaDmnVKd9WiEJQgpq/5Fg/8+nG8i6UDoXjSmEnHUnHdiqlTbbLx0Ys1FJdzB61wOJx0fUolFLe1tclut1udSyDZ+jAUMxBXtGSDjpfaAcao1kocDSDVxq08p5gOiHpiDbC4MxObtxiVXzyAFmMnMKVs+gOJ/sBfTCcs4u9K2TbEqyrJfmfFGmYUyjZvdNIhbtfFeLCMxWJZ1VKK32Uxbh9GivF3VMmjYhR7KNZvu+n2p8lCsTJBV7ljIK5Q6dpslsoBRt9cQ6y1UnrPJzuAizvyZLVd4XBYdrlcBd3RKZfjjXZiHo8n5fdjZpQKq4jt0swwukwvy8ZtcfN9gA0Gg3IwGDRcH/GEsa2tTf2M04V28bsotiHyjJqwKPTbWD4P/Gbbj2c72Ys49KKd62RlO/hiC8WVPipGsYZio7kExN+N2VDs8/nKYmZRMxiIK5BRDZy+hrHYDzCybLwjNmo6kexAlG4ILfFzsrONsd/vlz0ej+xyuWSv12vYvCGXzzLZZ2Ml5bvIpPbQ6DJ9qo5p+dgZizt/5aaflVE8YVQOGGavMiivs7vZRKZTfIu13KJkYScfB/5M24/rZ9Y083vJtBNxNuxoB19MoVg/yVGxlCufii0Ui8dvfWWXuF8wE4qLab3sxkBcYfQ7UmVDNtowivUAI8uJZ7FKs4JMdsDKjtxo3fNxwAmHw4ZjXCoh3ap2v/n4PsTfitkDv76pi1HHtHy2T0x2edEowBpdJjZzSdHs6CfZymWKb+W3qFwt0R8UjUK2nQfInp6ejH9T+u8w3e8lH1dQslkPM4ohFJfiqBh2KaZQrBwPzYyGYyYUF3p98oWBuIIY7ahSXSqV5eI8wBi1c8qklk6RrP1wvsKw2MbZ5XIZjkqQa7st8WBsZycofXA1c+BXfivKzjZZ2ErVLMYq4u/c4/HIwWBQ9vl8ssPhSHow0JfLTDMhZR3taBOd6xTfSlhXpqI22u7NHkytItY+mg2T+lFXzEwwZHcTr2zWwwz9vsquzrNGna9luTRHxUhGOY4oo9tkQx+K803ZNyrHkmTMbsc9PT1FNcyi3RiIK0SyHZQYmJIppgNMskb/yt8zqXkzCgj52JGLba2NwpaVswAq353dl+iVcCt+dmYO/OLBI1VthPL92vF9iCdx+uXHYrGUB8dMZj8TRwyxI7jkOsW3OARhqpNg5WCaj1qjbE60ZDnxRN7pdKYcicbuTrXZrocZyTpHWyXd8kttVAy9WCyWMD2zJElZl7dQ4zIrn7fS/C7dPj/fJ7elgIG4AqTbMZmp0S2GA0yqYWHEQGaWPhDnawcujpGc7ACmvySfbGeVqvev+J3ZfZYvDqOWyfA9mYzTa1cNd65D75kJxeJvy46TEyum+DZqN5hsG0h3omAVo2YsZsOkPoQq25zL5cp7EMhlPcxIVoNrxXJz2ScWeyjOpYlRKoWoVdU3cTRTKcVQrMVAXObM7JBSzb4lKuQBxkzIMhPsjZ6vdLzL1447WVMNvXQ1xfph1ZQmMG1tbZoaj3wdhMQ2qGZDsXj1oVDt1JTPMNlBLBaLadrPOhwOtVmFoq2tTfP7cTgcstfrlX0+n+zxeFJeEbCC2QlmxECsD1FiDXYxhBfxSopyIpFpmOzp6Umo/RNv+RhKyor1KAQzna+zWU6hf1cicfzwtrY2dfKZYi1vOvoTLzPBnKH4awzEZczsjkg5szQzFFQhDjBmw5WyUZvdaYs1dvnaAYpNVNKVU3yu0WvS1W7ke2euH0Yt1femhLF8Xn5PJtXBwygUJDtJ6enpSdkxz851tGqKbzubpmRK365blrOfPKCnp0f2+XzqBAVerzdvQdTK9ciXTDpfZ7O8Yvh9ybKc9PMv1vKakU3nPvFYwkBMZUm8hJJqgxZ3zmYP2Pk8wIgdhcw06zDbmcEovNi94xNDrpkdj7I+YvDVfwbJhgrL92U7o46NRgd+fZvEfF1+T0ap2U7XuVJpl6f/rPXfo7JtKM9PNTuUVayc4rtYZqBLdoAu9jCpV2rrkU3n62yXW0jKCWKq5mjFVN5MZBuKi3mCqnxgIC5z6SZukGXtGKTFuNErnR7SHTDENpJmDupiR6N8rrvynpKUfmps5SBkpg2qMplEoQKN8vnrrzToD/ziZ14MU0qLbbpFSlB2Op0Jn6m+OUuhDyTlOMV3qgN0sYZJI6W0Hrl0vs5m+YX4vYXDYbVpWbptt9JCcaVjICZZlr+uxbB7NAI7icHebEApxCViszsqJXQpAUcMYcU4FI4Syoxq6DPpsJVvRlNgKwfLVB0f8zEcXCbKdYrvZIotTGarWNbDis7XmbxPvkOa0WgSZq4oFmMoVvpp+Hw+ua2tLem+h6E4MwzEJMuyuUuupUAJBZkc2PO9vvpONkY1kOJBUgy/Sq1lsU39q0hWi6Q/qBRbgBGHLFOaPJg5+InbTaFriUtlim8rFUuYzFWh18PKztdm3y/fYThVf4t0FQzFEopjsVjSpk/JrqIyFJvHQFwGlNmBcpFp21Y7WLGTFA8shdpphcNhzcgC0v8fGzLVwPXKzirdiB3i+hUjpeypxnYuxgAjNjlwOp1q+/t0B8pMOknmQ7FP8W2HQodJqxRqPezofF1sxNEklOZCYrBUToRT0X9OhahI0Y/XbjSZk9H3x1BsTnEeVck0ZSOxYgcq7iDyvbFbeRmtkJd/jZoGJNsRZTKCgUJsFlKMB379oPRGvdXFnXMxBRijYQXNtHHMRyDOR41aqQZiWWYozoWdna+LhdJ3Qf95ZhoUlf1ZISpbxM7l+m1UP+wjQ3F2GIhLnFhDlesOVLxsmu9aYivnTReDTT53XPp18Pl86mgD4mUtkX6MW6UGJlUQK+bgonz2yqgj+jCsEHfOxdRuVT/ySLrtIB8dUvPR5jJfU3wn4/f7Za/XK7vdbtnn82W1H9OHSa6HeeXQ+dqI8tml2pYzDYqFCJLKfjXVMV5cj2TfjzgSEwNxIgbiMmDlQO/isvIduFLVpmZCbKNrZiQHK6Q7mRBrYXL5fsTgUow7NOVzcDgcScOwQmlWUmy1efpQnOrgL5582fV9WHmymIydU3yn2o+Ew+GES77iyWOmYVD5rOw4oS+X9chFKXW+FjtMp7uCU+y1p+nG2DcKw8muKiWbapsYiMuC/lJvLiFDDHZmx/O1ir4HcC47JvEzycdsVErZU7Wvy3TiEP1BVGxDVoh2fOLY016vV/b7/Qnfj9FkIqkO6oWoxQsGg2rNvdJLW89MKLZ7qnJRrttFoab41jeh0ZdJPHF1u92y2+3OufOlHSfy5bIeuSqWztfBYFD2eDwpx/nWd6JLd3JRzKE41faZLAxLklQU/RpKCQNxGTCaYCKXUCwG03xuUEY1LNnumPQjOdh9cFHeJ1VTB3HiinQdIcUaora2Ntnv95ueoCQb6dqoijXc+t+Z/jeSrmbYTqm+52TDLik12vrX6k80xWYwYnv7fKxjLieLhZriO90438pj+nVRmhFZsS+zQrmshxUK3fk61TZs9PmLodjM1cJiDcXJjmPJmkkkG1udUmMgLnH64GdF8wnxAJCvWmKxZlq/HtnumMSJOuyuJTYTiMUh4fQ1F+L66T8Lq050kknXRlV/kPB4PClrX5TlFaoderLOiGKZXS6X7PF40vbQDgaDKacqz9c65nKyWMgpvpONYKBsm6nWoRjaBCvKZT2sUKjO12Z+x+lCsZntVb+/s4Myzbv4m1JOVo2kCr3J9lvKY2QeP60SJ24UysZuRU9lpaNXPs6Q9TstZeO24mxdCT52S7fDFYf1MrMjTzYdsx01TGLtr1E5Uu10kx1sCnHQT3XgUw7iRtuD3+9P20NbmdVNmY7Z4/Hk7ZK2VSeL+ZriW5meW/y//vM1O86zfoa9fNKXrVTXw2qF6HytP0a43W51HxMMBhMqhVK9NpNQbMcV0mxGF1L2X0pAT9eBjoE4O/y0SpyyoacarzbbUJyvy0VijbR+4841FOdrHcRaE/1nLe6QJUmSvV6vHAwGZb/fnxBu9K/L13TMyT5npdzJDvj6g00+2msnk+zAp/SOT7UdFMOUskbsOFm08zeVrO2i/vM1Gq86GfGkLF9NDpT9p758pbYe6WQ7KkY+O1+bCbT670VfpmxCsR1XTfTNl3w+n3osEK8C6csnBlzxeenGjM53P6BSx0Bc4pR2akZKaWzOcDicdqiYXGqK7SbWAOvbbSkHD6fTmXYmoXwMZ5Ss/bLR52y0PkbLEw82+ao5NWr3bHTgUw4m6Q6C+s5RxfA7s/Nk0Q5KWY1qQY1qxsz+3pUQkI8TLnFbTjfVdTGvh52jYuSr83UmQTZdJ9dsQrGVxOaNRturvn20/vvTN91K9psTf5/sVJcZBuIyV0qhOJViPPjrKZfe9Z9xOByWXS5XyjKbGaXCCukmctF/zsnCjdFylZ1wPkbASNXu2WhGJ7MHB/FAXywHk1I6WRSvhBgxqmE1Q6nxykdzA3G83WS/5WJfj3yMimF35+tMA6z4vSV7biFDsXKFwOFwJN1Oxf2ovmxGZdcvR/xuWTucOQbiCsBQnD+5DhOXrwNlqt+CftQSsz2V8zmTlVi7ZSYUZ3LwEwevLwXFtF2YGW9bHybNhKl8bR+KdMFelot3PfI1Koadna+zCa5mT2YLFYqVE4h0VwdSjQne09OTMHKG1+uVfT5fUe0HShUDcZGKxWKy3++X3W637HK51HFfs1WoUKyMXat0RlLaTGWrUBu9Mo6rMu6lz+eztA1mvg74RkMRmQnFZtrUijU0djebMKqhSxeKzfbwF0cnKRXFcjAUP7tUoSTZqA3JKCEhX+HF7EQ6xboe+RoVw67O1+J2a/aEPFU/Dr1ChGKzJ07KtpzsWBCLxTTrqr+luxpJyZXOHr+CpGrfZdRhxax8h2J97319rWO2HZfyffBPNgavsvOx4nNU1ikfO+ZsQnGqy3yifAViWc4uFJtpzlGqPbSLIRSbuWytMBsmxf1Wvtqni8E+XcgtlvUo1OgedvzOxPc381sSf/tmm2yJ+4Z87HeVY3q69zJbkyxOTqKMfFMsnYFLVWnt8SuAvn2X8mPXBzGn05lVDWW+xsQU38fhcMgul8twDEmjdlBm5GOsSKP3cblchicrubShEzvx5OuAn00oTheyxPXI17Br2YTidAcksa1fqSmGUKx81mY+P/335/V6Nb8d8RJ+Ptt7ZhLsZbnw61Euo3uIzIbiXH7zqTqlZyvZZyuWM9X+MVknWrIfA3ERicViathK1r4r044PRlJNYGAFMRjp30MZkFwf7nMJxXbtONKNwas/UUn1eXq9XsPvSjxg5Xt8UitDsbisfK+HlaG4kD20lW3c4/HIHo8n62Y5+TpZTEa8omKm/OnGZc13GFZkEuxlubDrUQ6jexhJF4qL4QTQqDzpxgZOVlbx2FmqfX1KGQNxEVE2finFkE/hcNhUiEnHzprIdG2gZLnvkmS6EGOGneuhHAxSBSP99L5GBzz95CnKOLDiCU4hL3Fn03xCvDQndvQoVKfNbEKxvrmLOMC/1d9HsqHuFKmaF3m93ozLYvfJYipicwOzl3D135/D4VCvkBWqpkwM9mY//0KtRzmM7pFMslBcbGFYX06j71scH9iovGauTvn9/oKcIFYCBuIikqp3qchsiCkUszVsZkJMoWTSjCFdLYb+cf2t0OudbUc7/a3Qv8NsQnE+vo90Q93pmxcp7QJzLVO+mt/oic0NMqlZ1DcXK/Q+LZtgL8uFWY9yGd0jGf0+NN0oM4Wi30cahWKfz5e0vMp2nyzwip9DISdBKlcMxEVE2RjMjvuaTQ/6fMhkh5ttzYXdxMtbZoKFfoet31kpYxHrA2SqnWM+ZRuKHQ6H7HQ6ZY/HUxS/v2xHn1Bq8ez4PsRgpf9c0zUvEnuTF/LAr3xmTqdT9nq9cltbW8qyZNt8Rvz+7JwpzMyIN2Kwz7T5jN3roVeqo3v09PSonf3S/aaMKhaKKQwrzITiZFK9plyGTy1mDMRFJNNLdEYTEBQDpUxmy2PUIaXQsqnl0u+wjWqVenp61CYTdvB4PFkfgLMJxXYcKJUZm7Ld4WcTiu0OLckOZso2n+pzLHSb4FS16skCsrgvy1SqiUhykaqNb7KAnEu7eLvWw0ipje5hVEEgVhIkk+noE4WSTShOdVWSYTg/GIiLSLqpJ43oD1bFMLuWuDMwuyPV76SLYYNXLsulatOtp7/8nc/aCyumgNb/npKtgzh5hR3NC3Ld8et/T0ZDMdk57JLR797ooKaEgnS16+J3m+9tPBwOq2OJG4VJfUD2+XyatvWFarqh19bWJnu93rRNZpTfi8/n09TQF7tSGd0jXROydL/xcg3FyYZ7ZBjOn+LfyitMNqFQ32at0MQz3UxCobjh52P633TEg0Im5SlUeMnlUp3I7EmWHc0LrGwfrz/oGwUzO4ZdStWhTX9wU066zFACaaG3cSUgezyepOOl68NlMVI6tuqnLc4mpBWDUhjdwyjMtrW1yW1tbRmNxV6OodgoEDMM5xcDcZERQ1gmtW+phggrBLFmJZOdlVgLVeg2qeIweJl8ruJ89Pkey9aqUKw/qcknK0NxvsexNdPT3KiGzMxvvaenR32+3QPwK7XXZvY/PT09au1rslrkQgWWTNZDaeLg8XiS1iIXw741mWIf3SNVW3qxPGaVWygWA7HStpphOL8YiIuQvl2w2fbEymuKoQ2uOM99JjurbHt220UsTyYHxGyGbLKKVaG4kCcnVobifAd7M59/uk6YySifiZ21lWJIymU4RP30svkOLLmuRywWk9va2hLCcbGG4mIe3UOsJLDyPfIdioPBYFZlN7NPECshxG2HYTh/GIiLkD5Mmt2ZZzJKRT7ow6TZnZXy/GK5RKmfutnMATHTUSoyla7jmRWhOB/tQFPV4FkVisVgny/ZhGIz66asi13bhtFl9Fzaies/h3yFYivXw6hTYT47y5XD6B657EvC4XDKE/J8hWJ9ja3SztzsPsnMPkHfBIlhOL8YiItUNmP0KgfLYmqzl83OqtgCsSzn1kHC6h2a2Y5nuYbiTNskZspMDZ4VoTjTGceskmkoNrNudg/lJTbLKOVQbPV6FCIUl8voHrL89bHJ7DaozGiqb86R7Kqhfjuyen+VriOg2YCcbp9gplkJ2YeBuIDSTdUqzpyl7ASTbSDiJal8X9Lr6elRO6d4vV7Z7/drdtL62dzcbnfSg5K+HVU+pVsP/SVgMzPY2RHCMgmJuYRipbbCriBp9qQvl1AsBqNCtDG0MhQry8pk1JNcy5zNlap0y8zXd2H1euQ7FJfL6B6ybP7qZSwWS7gip7+lGibOrhBpFIhTdUhMFZDT7ROUEwGG4fxjILaJVVO1Gl360/fuF3fUVg/1FQ6HUy4v2c5L0o0nqd+hSJKUsCMQ19XqWm6r1kO/M3M6nSnHjLSrltvuUCweWPPVXtWOUCyexBQqIGQTisVtPBaLWTKknlniSYTX67UlFNtRi6dnx3rYPfZ7qiZEpTy6h5ka4mTHRGWWR/FvyWqK7TxRNLraqXR+S/ed6ANyun1CoTuUVyoGYhtYPVVrT0+P4aUzl8slu1wu2zpEKGEl2cFDP2GAUe9ssSZIX+OtlFlZDysOuvlYD32Nt/I9ulwuzevsrgWzKxTneyxlu0KxuM6FDgfZtCk2uuXr6o9SXofDYekU6/mu/bJjPcR2vXbsp8yWrZhH99ATKxz0Hf6CwaBh+fVXTPUnVIWQrgmg+J2kGu/aKPgXa2fNSsJAbAO7pmr1+XxJa5WVHb6VxJ2YUVmSbcjBYDBpMEx3SczsEEmFXo+enp6UlzLzNdJHLqFYvBKhLEv8PPIZXHIJxfoa7GKa8liUTSh2OByyw+GQ3W53Xmu4xdpVv99vaSjOZ+2XXesRi8VsC8O5lK0YRvcwom/TrdSWGu1D3W530t9IPq/4JJv1M5N+McpIJWaavjAQFx4DsU3snKrV7/ertQJutzuhrauV9GVR3kcJJck2Yn1w0QdEsf20y+VSB2i3i13rIbY7drlcstfrzXvbr1xCsfJ56HfWhWjDlm0oFk+m9H+3Ogwrl0ezlWkoLmSYF2tXZTm7jr7FoBTWw+pOgIUa3SPV9pHuCkiqTnMKsY+JnU25xM/PqEy5jGyhTAgjXt1lGC4ODMQ2KtWpWlOVRdlBiweYZPTBpdCdPMplPYxkEorTdVqx42qDWZmE4nQ1LlZfbRC3ZytDcapmVYXsXKOvXZXl4gyT6ZTKeljdCTDfodjM9pGsc5rZWS/tHs5SlpNXnuhZNdwb2wsXDwZim5XDVK2ynLiTUAJHOuLoF4VuxynL5bMeRjIJxUrHDv2BtxhqKjIJK21tbQmXiO1qXmDleKfi7zDZ70+5xF9I+tpVWS7OMJlOKayHHZ0A8xWKjYJusvdSrqr5fL604yrrietjR5A0G4YVpTJbHpnDQJwHpTBVqxn6navZ4bjE9S+GA2e5rIcRK2d4K6RiCysKqw6AsZh2WvB81BLFYjG1iZVZRrWrslzY76dc1sOIHZ0A8zG6R7LmEFYGRP1MblbLNAwrGIrLBwNxnhTzVK2Z0IdJM0FdnFK0WJoblMt6GDEKxcUQJjOlDwTFMgOjVQfAVB06rab/TTgcDtPvaVS7KsuFCZPlsh7J2NUJMB+jeygnePrOgVYERP3nYHWozzYMKxiKywMDcQ7EgdOVjmGpOrgV41Stsixrhu5ROoalCojizsPssFx2B8lYLKZ26FDWI5NZg4plPaxiNF5qOYTiYjnQWHEAzFcHoVQznpkJlMlqV2U5v2GyXNYjHbs6Adp9FUI//nqm20eyY6d+/a0+ecw1DCsYiksfA3EWko2bKNbIpZpNR3xeIadq9fv9KQcTT9W5KpOdiHipy+qdsjJaRbLh6JSaxWTlK5b1sIP+snyxXGXIlPi55/NkJN2IErkeAMXhGe2sITYKkvr/pwuUyWpXZTl/Jy3lsh7plEonQCPK/kapHDK7fYjfi8/nk4PBoNzW1pbTTJtmZNNm2M59AhUWA3GGjNpKKWOFmg26xTBVa7LhtzLZ6ZrZmYgHMasveacafiuTnVKh18NOYpgshs6Z2RJrnPLRqdHsiBK5HADt7iAkMmpGYxQ4kgXKVLWrspx+8huuR2ZKoROgEXF7UGZxS7d9iFdKUt2KIQwrz0/V5JGhuHQxEGcg1fSqsty3s/V4PKaaQhRyqlZ9UwGjCSk8Ho+pna1+WWJTC3GGPavbr+kPjC6Xy3AKZbNttQu1HvkgDrNW7E09UhG/b7tlclDL5gAonqjk6wQrWYdLZb+VLlCmql2V5fTTo1fqepRzJ0AjYi2xLJvbPsLhcNKrlS6Xy/J9bi5h2MwxQL/OxTB6D6XHQGxSqtnn0kk2xmIhpmpNNWtbKkrTBCNGtc3izY4Qme0UyeFwOOlnWoj1yAfxt1vKgVj87eaDXaFYH2ry+ZtKNQpJukCZrnY1n0plPcq9E6ARfS2x/m+ptg9lVjflZse2oR+HPd3VmUzDsP51rCEuHQzEJok9aDPZSJWdWrKdVj6nahUPBJmGYWWnnmzjNjoAOZ1O2ePxWH45ONsJEsQDidlQbOd6WCkcDietDRebGxTTgdOI3+9P+t0o4w0bzd5oZ3myDcUulyvhN+P3+23tIGRGuqH5UgVKJUyYHarQTsW+HpXSCdCIvpZYlounKUEmn122YVhRyhUQlYiB2ARxo8jkAKbfGZsJxXbu2LJps2i0UzcTiu3c2Sk720wOZvqdoNlQXApn9+K66cub6rFik2o7y3YbtLpcmYZi5XcqTtNaDLWsZsarNgqUhQ7zesW8HuXSCTAcDmdcQWNUS6z/e7GH4mzCcDGdlFDmGIhNUGqmMumUlOzye7pQbOdleWUHYLZTUqoajnSh2K5gL7a9NDtqglEYNhuKi63mxYj+EqAy5Jw421UprIfRiZfP5yuKE5RMQ3GqUU9SjUKTT2YncTEKlJnsR+xWzOtR6p0AjcYCNxuMjWqJZbk0QnE2YVjZ7kuxWR31YSA2QdlozHZ+0TfYDwaDpi7RKAOx2yHTIKnfkWcyjI7ZeemzIV7+N7NjNhrD0uxQPnauh9X0oVh/ElbMzT0UsVgs5XCGZjt62iWTA3ksFpO9Xq+mo5AypFQx/aYymdlQDJR2jHyTi2Jej1LrBCguN9mJnZlgnKyWWP9YsYVi8RiTSRgWv0MqTQzEJog7gXSS9V7V7wDyXWOXySQARmFYod+B53tHlkkgTjWgu75HczHU2OWqra0tYfi/YgtgZujHlc6kI5LdiuVAbqVMp/vu6ekpylqwYl6PUukEKDIKxPqrOOmCcbJaYlkunpEYkgX/bMIwa4hLGwOxCWYDcbq2wPoQls9QnEkgTnWJWtw5FyIUZBKIxc87VZvUQu+QrVasgSVTSi1asWEoLl7FvB7F3gnQiFENaltbW8KVnGTBOFUtsfi4HduQMpOsx+NRm18l258YhWIzVyAZhssLA7EJ4safLsB6PJ6kQVfZqel3MPli9j2VHXeynZQ4Jq+yTLPj/eZKDPbp3lPZyRkF3VgsptmRKfdTTVlNpNCH4lKdBVBUzGEyE8W8HsXcCTCZZG1tjWZsNQrGqWqJZdn6kRjSzSSbrOlVpiN3MAyXHwbi/y/VD19sn2lmZ5RsWUrtpjIck8vlsnznlmo9xB1xupq3VMtRdjbKFJtOp9PynUGy9xeDrJnaklTrIdYE+Hy+lFM8E+kVyyVfKxVzmMxEMa9HMXcCTCZVWEwXjNPVElvJzNj+qX4LZkMxw3B5YiCWU9ckKo+LISzb0KTs3OyamSpdL1erpr9VzvjtqhVLtx7KqB+5lEFs+sGxIilb+g445XBCZTSZRCkq5vUo5k6AyaQLi6mCcbpx7K2gD8Ner1fTTtvn88kOhyNteE23ngzD5aviA3FPT4+py1Hihp7tRp3u0lEuzMykF4vFcr70ZncHDzPrITabyHaHlM9aCypvVpygFRslsJX6Ab+Y16OYOwEmY6YG1SgYi6+xY3+by0yyRpKtJ8Nweav4QCzLiSMnJBsPUtxAMg21dk8sYHbnKu44silLNpN7ZMLseojNWLLZMWUzuQeREbEZj11XfwohFouVxQG/mNejmJt2JGO2WUGytrxWnzSKFT1Wfn769dSP4FPs3xNljoH4/zMTirPtXS5uWPmcKjTZRmt2HF69bKdMzpSZ9cjlQCKufzm0+6TCU36L5RSIKT/KORTLsjYY27F9iM2Wctmfm+loVyrfD2WHgVhgJiiKG5+ygaeqKdVvUHaPYmB25ype5lXaW2XSo9buZgZmQ7HRuLup6MeJJjJLbJOop2zj+RpthcpLuYdiWe4Lxna0f1Y+t1wqm5R1MepPIq5nKXwvlD0GYp1saoolSZI9Ho9mYwqHwwmzh+WrNjLbmmJlJi3xuW1tbZrwnM8dQjY1xcqO2e/3q6FdafslPq8UpjKm4iF2atL/Bu1uRkSVoZg7ASaTaSi2Q67NlcTmkKlmAzTTIY9KGwOxATOhWD8dc7pbvi/Nmw3F+hrvVLdCnB2bDcVGwxMluzEMUyb0/QckSZK9Xq86VB+b35BVirkTYDKFDsVWNOMTt2OORV+5KioQx2Ixua2tTfb5fHJbW1vKjdZMKI7FYgnTzOpvLpfL8h1bT0+P7Pf71XGAk8l1vEvxlmww82Jaj3QDsptpUkFkRKkhSvbb4u+KrFLMnQCTKWQozrWGWJa1nc3LYeZJyk6VLMsyKkBraytaWloQj8fVv0mShM7OTjidTsPXNDU1IRAIqP/3+/3weDyGzw2FQgiHw+r/q6urMXPmTDgcDmtWAEA8HseSJUs0ZQIAp9OJzs5OSJJk+Jq6ujpEIhEAqdc5Ho+jq6tLsx5jx47FzJkzDZddrOsRjUbR1dWFTZs2qX+rra2Fy+WybB2o8hj9bl0uF6655hr+tqjiRSIR1NXVqcdYj8cDv99v+/uOGTMG0WgUkiQhFotlvZyqqioAfdt0MBi0qHRUUgqdyPMhVe1nuktT2Y7IYDWjtrLiLdUZeTF12CiX9aDKZlcHIaJSptQU57OG2KpRg8Sri1SZyv6bFzcW5ZK5z+fTBKt0l1oKHYr1QdDpdKrrIV6mSnXZthjCZLmsBxERGQuHw3k9WRQnasplJlklEHP0ocpV1oFYP8SWuKHog1Umy8pnKNaXU9++SWy7lS7YFzJMlst6EBFRcbFiJlnl9W632+LSUako20CcKgwrxGmIzQyXlO9QnC5EKpRh4MwM01OIMFku60FERMVH36mv2GaSpdJQlp3qxM5wqTpqAX0N6ZUOWmJD+mSdsDLpaJcLfSeyVB0UQqEQ6uvr4Xa7MXfuXE1nssbGxoSOfZl0UON6EBFRsQsEAmhqalL/b7ZTn9gZ0OFwoKenx85iUjErdCK3mpmaYYU41IrRLdlZpt2znZmtUVXoJwDR35INGSe+hx0zbJXLehARUfEzmkk2VQbI90yyVNzKKhCLQTVd43qj0Q4cDkfCWKOpQrEdPWn15UrXnslornVlYHezYdKOcRfLZT2IiKh0GM0kq592vaenJ6PO3FQZyjYQJwtPsmw82oE4MYR+g0q1HKtl0jZWHyLdbremLbT+8zBqJ21Xb+ByWQ8iIiotbW1tRT2TLBWnsgrEspw+FOuDWrJLKmIozmUGnGyYCZP6EJmsqYD4eeT7DLhc1oOIiEqL2ZlkU82SSpWl7DvVAV93fNN3wkrX4a62tlZ9br4/plQdxjKZESgej2PQoEEACjMDT7msBxERlZ54PI41a9Zg06ZN2LhxI6qrqzFkyBDU19ezAzZpFTiQ20ZfU6yfjMNM+99Cz1xjVMPq9/szHl4GKExNt6Jc1oOIiIjKU7885++80Q+H1tzcbLpmWNHd3Q0AhsOv5YN+GLF4PI6mpqaM5oqPRqPq/VmzZtlW1lTKZT2IiIioPJVtIAaMxwh2OBymwnBra6sawubOnWtXEdNKNrau2+02NcbikiVL1PuNjY2Wl8+sclkPIiIiKj9lHYiBxFAcjUaxatWqlK8JBAJobm4G0FebbMfEG5kwCpNr1qxRa7yTaWpqQnt7OwDA6/UmTGyRb+WyHkRERFRmCt1mI1/MDskmji5RbNMBZzKUWSYTlORbuawHERERlYeyHGUimXTTLuunfgwGgwVrP5yMmemKxfWUJAmbN29O20Qk38plPYiIiKj0lX2TCZE+AIuBSx+G/X5/0YVhwLiDmhgs9SHSTHvpQiiX9SAiIqLSV1E1xAp9TbHH40lZc1yMjGpYZ86cqba1TdaJrdiUy3oQERFR6arIQAwkhmJFKYRhhT5MKkotRJbLehAREVFpqqgmEyKj4FtKYRgwDoylGCLLZT2IiIioNFVsDbFCqSkutTAsUmpYu7u7SzpElst6EBERUWmp+EAMAKFQqCg70GUiHo+ju7u75ENkuawHERERlQ4GYiIiIiKqaBXbhpiIiIiICGAgJiIiIqIKx0BMRERERBWNgZiIiIiIKhoDMRERERFVNAZiIiIiIqpoDMREREREVNEYiImIiIioojEQExEREVFFYyAmIiIioorGQExEREREFY2BmIiIiIgqGgMxEREREVU0BmIiIiIiqmgMxERERERU0RiIiYiIiKiiMRATERERUUVjICYiIiKiisZATEREREQVjYGYiIiIiCoaAzERJWhtbUVTUxOqqqo0t0GDBqG1tRXt7e15KUcoFEooQygUymgZra2tCcuIRqOa54jrmgtlGWPGjMlpOVaKx+MYM2YMBg0ahHg8rnmsvr4+4bNJd2tubkYgECjQ2pgnfu92lbcYv+9MNTQ0oKqqKm/bNFGxYiAmIlUgEEgZeuLxOJqbm9HQ0IDa2lpEIpG8l7Gjo8PW55ebBQsWIBqNYunSpZAkKeflKSdLtbW1CScWVJzGjBmTNLgvW7YMALBkyZKEEyaiSsJATEQA+mqKmpqa1P97vV6Ew2HIsqze2tra4Ha7AQCRSAS1tbUZ19jmasWKFaafG4/H816+YtLe3o729nZIkgSv15vyucFgUPNdG93a2trgdDoB9H3/p512Wj5Wg2zkcDjg8XgQjUbR0tJS6OIQFQwDMRGhqalJvWTqcDjQ09MDn8+nhh+F2+1GW1sb/H6/+rc5c+bktaYwHo+brpletWqVzaXRUoJjT09PXt83mSVLlgAAli5dasny3G43wuEwHA4HACAajaK1tdWSZVvN6/Wq34fH47HlPYrt+86W8vtobW0tyFUfomLAQExU4QKBgNo8QpIkPPbYY2rgScbj8cDn8wHoC6hK8LKTGM5Xrlxp6jVKcwmn05l2ncpNIBBANBqFJElYuHChpctevHixev/555+3dNmUfw6HAy6XCwDSXkkgKlcMxEQVTrxMumzZMtPB0ev1qm1S29vbbW9/WF1drTbXMFPzG4/H1VrvuXPn2lq2YqR8r42NjZa0HRZVV1er93t7ey1dNhXGokWLAPR1ZK3kZkZUuRiIiSpYe3u72txBaUuYicbGRvX+mjVrUr6PftQKZcSKTIL0rFmzAPRdqk93aVcsT319ven3APrax+rLW1tbm7Z5QKrOS6JAIJAwwoOZ5Zul1A4DX39mhRKPx9Ha2qp+NsqtoaHB9MgGqX4/yZrrKB1EjUaZUJalfE92f9/Z/v6V5ypt+6PRKJqbmxPKadQBNhqNJoyqIv5Nv24zZ85UT5zMXoEhKisyEVUst9stA5AByD6fz/Llx2IxzXsku7W1tRm+PhgMqs9xuVxyLBZT/+/1ek2tm8PhkGVZlh0Oh/ranp4ezXM9Ho/6mN/vT1lWp9OZ8HqF8h7Ke+r19PTITqcz5fIlSZKDwWDqDzYNZd0lSZJjsVjS57lcLvV9M3lPn89n6ntoa2uTJUlKub7K95puXTL9/Yjfo9/v1zymfN8Oh8PW7zvX37/yuMfj0WwLyT5HUU9PT8rnG23vZn83ROWIgZiogokhMdcQZkQMfx6PRxMs2traNI8bhQJ9IJblrw/aTqcz6fvGYjE1iCmBzWwgVgKBPjB4vV71cYfDYRgYUgWkWCymKYPX69UsQwyZAORwOJx0/VIRTxrcbnfK52YbiM38btra2jSflxhKY7GY5vNM9l2KYdLtdmu+N7/frwnb+s/LTCC28/uW5dx//+Lno/wrPi8cDmu+w2QntenKqRB/g8lCOlG5YiAmqlBicAJgeY2QeHBNdqAWQ6JR6DAKxOJyk4VGMYwpz8kkECdbbrp1ShU8xHCnD2iKcDisCWHZENc9Xa1/poE4GAxqXpMscIsnJA6HI2kNa6rPUwy0yWqhxc9LX0OaSSC24/u24vcvljFZKBc/a0mSDN/HbCAWP890V2CIyg0DMVGF0l9StZI+EKUiBjh9cDEKxGKQTxY0lMAjBgSzgThdraqyHKPwkSx4pApuemKQShacUxFrNtPV8onhNtNbqsCUyTootZ/6z0z8nM02qRCfZzYQ2/F9W/X7Fz/vVJ+j+BkYnXyYDcTie6a6AkNUjtipjogst2bNGrWzkDhEl5GZM2eq983MKidJkjpEVLLOP8ooFNkMN5auE5rSkTCTST/Eciq9+ZMRy5zNLHubNm1S748dOzbj12fzPnrK+kqSlLajptLhUewoGYlE1I5gCxcuTDlKxrRp09T7XV1dpsousuP7tvr3n+5zFD+D7u5uU2VMRhllhuMRU6VhICYiy4lj06Yb4UGSJPUgbDbQKCFGDE4KcQi4bEZYqK2tTfn4uHHj1PvhcNjUMsXniQHIiCRJ6pjLqUbuSEYMqoMHDzb9OjMz1fn9fvW7UkZO0BMnTkm3roDx5xkMBg0fNyJOwKGcKGXCju/b6t9/TU2Nqfe1gvhenJqbKgkDMVGFEseSBWDpOMJicKitrdUME2V0E4eFMkOsRdWPSayEEbEmORPpwof+czNDqbWTJMnUmMDKe8Tj8YxDyccff6zet3oyEo/Hg9WrV6v/F4d3U4ihrr29Pe13L4ZqozGN7azlBuz5vq3+/WdTBiuIvyWicsdATFSh9OEsm0utra2t6kG9ubnZyuKlJNai6ptNrFixAoB2jORMl51KLuHE7GvtDoG5cDqdmhONbGqxi4md33ep46QrVEkYiIkqmHhJW7xMbZZ4aVhsxygKh8NpL8WLN7OU2efEZhOhUCin5hJm5BISzL42VfvcYiA2M0i1Tm63O6PvvhinDc41FNr1+8+HSj4ZoMrDQExUwcTQKIZbM+LxuKZ2UAzX4oHUrnAn1gArzSaUTkmSJKnTPGcqXdORbDqtKZfl4/G4qaYpSggT25eaJbYbtqsN6JAhQ5I+ZvV3b/fJgR3fdz5+//mQSRt0olLHQExUwRobG9VLxuI0zmasWrVKDRMej0dz6VkMDpkGbbMcDofabEIJwkowNtOZK5l0TUfE9TH7PmKNaromBpl2StMTP/tCtAEV2+RGIpGs2qaLHdE2btyY8rlis51sRkaw4/vOx+/fLuLnYXUbdKJixkBMVMEkScLSpUvV/8+ZM8fU66LRKJYsWaL+X1wG8HVzBiCx05teJBLJuh2y8j6hUAihUEgN9OL7ZyrZUG6Atlbc6XSa6iCnL8/tt9+e8rlKG2ggu2YfYhgrRO2kvnY+3fff0NCgfv9KeBY/23SvF68KKCdImbD7+7bz928HZRvK5rMkKmUMxEQVzuv1qgEmEomgoaEh5fOj0SjmzJmjhhefz5dQkyR2vIpGo2htbU35/op0Y7bqiTWJSpiXJCmnGuLW1takNY0tLS3qeqcbT1jkdDrVzzgUCiEQCBg+LxKJqKHI4XCkHcPXiNiW265ALDYJMKrBFT8b8TPTC4VCaG9vB5B4lUE5yUr1+2lvb1fHBs5mzGnAvu87H79/q4mfQzF37CSyhU0TfhBRCYnFYppZyxwOR8IscLFYTPb5fOoMXEgzW1lPT4/muR6PRzOTWFtbmzpLWbJlGc1UpycuAylmHstk6mZJkjQzg8ViMVOzm6WaEUycpldZX/HzEGd3Q4rphNMRZ/JLNwtbplM3K8RZ4JK9hzhjnsPh0MyaF4vFNI9LkmQ4w1qq34d++frZ7DKZutmO79uK33+6375C/O0YfY9mv2dxOelmOSQqNwzERKTSh7JkN0mSTB0ww+GwJgQmuyUL1mYCsb7Myaa4NROIHQ5H2umMXS5X0qmE002R29PTkxDgjT7bTMKpEWUqX6PphkXZBmLxe5EkKWl4F0NrspvD4Uj6ev2JWiavNxuIxedZ/X3n+vu3KhAbbddG054nmwabqBKwyQQRqbxeL2KxGHw+n+GkFm63Gz6fD7FYzNQoDk6nEz09PfD5fAltEiVJgs/nQzgchs/ny7rM+pnAsh1/WBEMBuH3+xPW3+Vywe/3IxgMmm5LqudwOBAOhw2X73Q61c82mwlFRErb43g8rjZJsJLYcS4ejycdLs3n8yEYDBo+rvyWenp6krZXlSQp6fehfF6pXm+Gx+NBOBxOaJ5ixfedj9+/GV6vN23zG7G9tL75ClElqJLlIhv4kIiIcjZmzBhEo1F4PB74/f5CF6eoNDU1qe24eQjsEwgE1FkDg8FgzidlRKWGNcRERGVI6ZQmDo9HlIwy2obL5WIYporEQExEVIY8Hg8cDgfi8bhmKDcivWg0qo7WkWpEDKJyxkBMRFSmli1bBgBYvnx5gUtCxaylpQVAX1tjjj9MlYqBmIioTLndbrjdbkSj0aRjH1NlU34bDocjYYIdokrCQExEVMbuuOMOOBwOLFmyhG2JKYEy4+SyZcs4sgRVNI4yQUREREQVjTXERERERFTRGIiJiIiIqKIxEBMRERFRRWMgJiIiIqKKxkBMRERERBWNgZiIiIiIKhoDMRERERFVNAZiIiIiIqpoDMREREREVNEYiImIiIioojEQExEREVFFYyAmIiIioorGQExEREREFY2BmIiIiIgqGgMxEREREVW0/wfw0Tv/3SnwFwAAAABJRU5ErkJggg==">
          <a:extLst>
            <a:ext uri="{FF2B5EF4-FFF2-40B4-BE49-F238E27FC236}">
              <a16:creationId xmlns:a16="http://schemas.microsoft.com/office/drawing/2014/main" id="{70FFBE20-5861-401C-B8F5-B7D7A2829C56}"/>
            </a:ext>
          </a:extLst>
        </xdr:cNvPr>
        <xdr:cNvSpPr>
          <a:spLocks noChangeAspect="1" noChangeArrowheads="1"/>
        </xdr:cNvSpPr>
      </xdr:nvSpPr>
      <xdr:spPr bwMode="auto">
        <a:xfrm>
          <a:off x="3953233" y="1907864"/>
          <a:ext cx="304800" cy="304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BCDF-69B5-4546-91D9-CC4502D0DDDF}">
  <dimension ref="A1:I35"/>
  <sheetViews>
    <sheetView tabSelected="1" zoomScale="74" zoomScaleNormal="74" workbookViewId="0">
      <selection activeCell="I35" sqref="I35"/>
    </sheetView>
  </sheetViews>
  <sheetFormatPr defaultRowHeight="16.5" x14ac:dyDescent="0.25"/>
  <cols>
    <col min="1" max="1" width="17.75" customWidth="1"/>
    <col min="2" max="3" width="22.75" customWidth="1"/>
    <col min="4" max="4" width="19.125" customWidth="1"/>
    <col min="6" max="6" width="12.75" customWidth="1"/>
    <col min="7" max="7" width="17.125" customWidth="1"/>
    <col min="8" max="8" width="17.625" customWidth="1"/>
    <col min="9" max="9" width="22.75" customWidth="1"/>
  </cols>
  <sheetData>
    <row r="1" spans="1:9" x14ac:dyDescent="0.2">
      <c r="A1" s="1" t="s">
        <v>15</v>
      </c>
      <c r="B1" s="1"/>
      <c r="C1" s="1"/>
      <c r="D1" s="1"/>
      <c r="F1" s="1" t="s">
        <v>16</v>
      </c>
      <c r="G1" s="1"/>
      <c r="H1" s="1"/>
      <c r="I1" s="1"/>
    </row>
    <row r="2" spans="1:9" x14ac:dyDescent="0.2">
      <c r="A2" s="2" t="s">
        <v>0</v>
      </c>
      <c r="B2" s="3" t="s">
        <v>12</v>
      </c>
      <c r="C2" s="3" t="s">
        <v>12</v>
      </c>
      <c r="D2" s="3" t="s">
        <v>12</v>
      </c>
      <c r="F2" s="2" t="s">
        <v>0</v>
      </c>
      <c r="G2" s="3" t="s">
        <v>12</v>
      </c>
      <c r="H2" s="3" t="s">
        <v>12</v>
      </c>
      <c r="I2" s="3" t="s">
        <v>12</v>
      </c>
    </row>
    <row r="3" spans="1:9" x14ac:dyDescent="0.2">
      <c r="A3" s="4" t="s">
        <v>1</v>
      </c>
      <c r="B3" s="5">
        <v>5</v>
      </c>
      <c r="C3" s="5">
        <v>5</v>
      </c>
      <c r="D3" s="5">
        <v>5</v>
      </c>
      <c r="F3" s="4" t="s">
        <v>1</v>
      </c>
      <c r="G3" s="5">
        <v>4</v>
      </c>
      <c r="H3" s="5">
        <v>4</v>
      </c>
      <c r="I3" s="5">
        <v>4</v>
      </c>
    </row>
    <row r="4" spans="1:9" x14ac:dyDescent="0.2">
      <c r="A4" s="4" t="s">
        <v>13</v>
      </c>
      <c r="B4" s="5">
        <v>223</v>
      </c>
      <c r="C4" s="5">
        <v>214</v>
      </c>
      <c r="D4" s="5">
        <v>218</v>
      </c>
      <c r="F4" s="4" t="s">
        <v>13</v>
      </c>
      <c r="G4" s="5">
        <v>205</v>
      </c>
      <c r="H4" s="5">
        <v>222</v>
      </c>
      <c r="I4" s="5">
        <v>199</v>
      </c>
    </row>
    <row r="5" spans="1:9" x14ac:dyDescent="0.2">
      <c r="A5" s="6" t="s">
        <v>2</v>
      </c>
      <c r="B5" s="7">
        <f>B4*POWER(10,B3)*1000</f>
        <v>22300000000</v>
      </c>
      <c r="C5" s="7">
        <f t="shared" ref="C5:D5" si="0">C4*POWER(10,C3)*1000</f>
        <v>21400000000</v>
      </c>
      <c r="D5" s="7">
        <f t="shared" si="0"/>
        <v>21800000000</v>
      </c>
      <c r="F5" s="6" t="s">
        <v>2</v>
      </c>
      <c r="G5" s="7">
        <f>G4*POWER(10,G3)*1000</f>
        <v>2050000000</v>
      </c>
      <c r="H5" s="7">
        <f t="shared" ref="H5:I5" si="1">H4*POWER(10,H3)*1000</f>
        <v>2220000000</v>
      </c>
      <c r="I5" s="7">
        <f t="shared" si="1"/>
        <v>1990000000</v>
      </c>
    </row>
    <row r="6" spans="1:9" x14ac:dyDescent="0.2">
      <c r="A6" s="8" t="s">
        <v>3</v>
      </c>
      <c r="B6" s="9">
        <v>4</v>
      </c>
      <c r="C6" s="9">
        <v>4</v>
      </c>
      <c r="D6" s="9">
        <v>4</v>
      </c>
      <c r="F6" s="8" t="s">
        <v>3</v>
      </c>
      <c r="G6" s="9">
        <v>5</v>
      </c>
      <c r="H6" s="9">
        <v>5</v>
      </c>
      <c r="I6" s="9">
        <v>5</v>
      </c>
    </row>
    <row r="7" spans="1:9" x14ac:dyDescent="0.2">
      <c r="A7" s="8" t="s">
        <v>14</v>
      </c>
      <c r="B7" s="9">
        <v>114</v>
      </c>
      <c r="C7" s="9">
        <v>80</v>
      </c>
      <c r="D7" s="9">
        <v>111</v>
      </c>
      <c r="F7" s="8" t="s">
        <v>14</v>
      </c>
      <c r="G7" s="9">
        <v>95</v>
      </c>
      <c r="H7" s="9">
        <v>84</v>
      </c>
      <c r="I7" s="9">
        <v>101</v>
      </c>
    </row>
    <row r="8" spans="1:9" x14ac:dyDescent="0.2">
      <c r="A8" s="8" t="s">
        <v>2</v>
      </c>
      <c r="B8" s="10">
        <f>B7*POWER(10,B6)*1000</f>
        <v>1140000000</v>
      </c>
      <c r="C8" s="10">
        <f t="shared" ref="C8:D8" si="2">C7*POWER(10,C6)*1000</f>
        <v>800000000</v>
      </c>
      <c r="D8" s="10">
        <f t="shared" si="2"/>
        <v>1110000000</v>
      </c>
      <c r="F8" s="8" t="s">
        <v>2</v>
      </c>
      <c r="G8" s="10">
        <f>G7*POWER(10,G6)*1000</f>
        <v>9500000000</v>
      </c>
      <c r="H8" s="10">
        <f t="shared" ref="H8:I8" si="3">H7*POWER(10,H6)*1000</f>
        <v>8400000000</v>
      </c>
      <c r="I8" s="10">
        <f t="shared" si="3"/>
        <v>10100000000</v>
      </c>
    </row>
    <row r="9" spans="1:9" x14ac:dyDescent="0.2">
      <c r="A9" s="11" t="s">
        <v>4</v>
      </c>
      <c r="B9" s="12"/>
      <c r="C9" s="12"/>
      <c r="D9" s="12"/>
      <c r="F9" s="11" t="s">
        <v>4</v>
      </c>
      <c r="G9" s="12"/>
      <c r="H9" s="12"/>
      <c r="I9" s="12"/>
    </row>
    <row r="10" spans="1:9" x14ac:dyDescent="0.2">
      <c r="A10" s="11" t="s">
        <v>5</v>
      </c>
      <c r="B10" s="13"/>
      <c r="C10" s="13"/>
      <c r="D10" s="13"/>
      <c r="F10" s="11" t="s">
        <v>5</v>
      </c>
      <c r="G10" s="13"/>
      <c r="H10" s="13"/>
      <c r="I10" s="13"/>
    </row>
    <row r="11" spans="1:9" x14ac:dyDescent="0.2">
      <c r="A11" s="14" t="s">
        <v>6</v>
      </c>
      <c r="B11" s="15">
        <f>LOG(B8)</f>
        <v>9.0569048513364727</v>
      </c>
      <c r="C11" s="15">
        <f t="shared" ref="C11:D11" si="4">LOG(C8)</f>
        <v>8.9030899869919438</v>
      </c>
      <c r="D11" s="15">
        <f t="shared" si="4"/>
        <v>9.0453229787866576</v>
      </c>
      <c r="F11" s="14" t="s">
        <v>6</v>
      </c>
      <c r="G11" s="15">
        <f>LOG(G8)</f>
        <v>9.9777236052888476</v>
      </c>
      <c r="H11" s="15">
        <f t="shared" ref="H11:I11" si="5">LOG(H8)</f>
        <v>9.924279286061882</v>
      </c>
      <c r="I11" s="15">
        <f t="shared" si="5"/>
        <v>10.004321373782643</v>
      </c>
    </row>
    <row r="12" spans="1:9" x14ac:dyDescent="0.2">
      <c r="A12" s="14" t="s">
        <v>7</v>
      </c>
      <c r="B12" s="16">
        <f>LOG(B5)</f>
        <v>10.348304863048162</v>
      </c>
      <c r="C12" s="16">
        <f t="shared" ref="C12:D12" si="6">LOG(C5)</f>
        <v>10.330413773349191</v>
      </c>
      <c r="D12" s="16">
        <f t="shared" si="6"/>
        <v>10.338456493604605</v>
      </c>
      <c r="F12" s="14" t="s">
        <v>7</v>
      </c>
      <c r="G12" s="16">
        <f>LOG(G5)</f>
        <v>9.3117538610557542</v>
      </c>
      <c r="H12" s="16">
        <f t="shared" ref="H12:I12" si="7">LOG(H5)</f>
        <v>9.3463529744506388</v>
      </c>
      <c r="I12" s="16">
        <f t="shared" si="7"/>
        <v>9.2988530764097064</v>
      </c>
    </row>
    <row r="13" spans="1:9" x14ac:dyDescent="0.2">
      <c r="A13" s="1"/>
      <c r="B13" s="1"/>
      <c r="C13" s="1"/>
      <c r="D13" s="1"/>
    </row>
    <row r="14" spans="1:9" x14ac:dyDescent="0.2">
      <c r="A14" s="1" t="s">
        <v>15</v>
      </c>
      <c r="B14" s="1"/>
      <c r="C14" s="1"/>
      <c r="D14" s="1"/>
      <c r="F14" s="1" t="s">
        <v>16</v>
      </c>
      <c r="G14" s="1"/>
      <c r="H14" s="1"/>
      <c r="I14" s="1"/>
    </row>
    <row r="15" spans="1:9" x14ac:dyDescent="0.2">
      <c r="A15" s="2" t="s">
        <v>17</v>
      </c>
      <c r="B15" s="3" t="s">
        <v>12</v>
      </c>
      <c r="C15" s="3" t="s">
        <v>12</v>
      </c>
      <c r="D15" s="3" t="s">
        <v>12</v>
      </c>
      <c r="F15" s="2" t="s">
        <v>17</v>
      </c>
      <c r="G15" s="3" t="s">
        <v>12</v>
      </c>
      <c r="H15" s="3" t="s">
        <v>12</v>
      </c>
      <c r="I15" s="3" t="s">
        <v>12</v>
      </c>
    </row>
    <row r="16" spans="1:9" x14ac:dyDescent="0.2">
      <c r="A16" s="4" t="s">
        <v>1</v>
      </c>
      <c r="B16" s="5">
        <v>6</v>
      </c>
      <c r="C16" s="5">
        <v>6</v>
      </c>
      <c r="D16" s="5">
        <v>6</v>
      </c>
      <c r="F16" s="4" t="s">
        <v>1</v>
      </c>
      <c r="G16" s="5">
        <v>5</v>
      </c>
      <c r="H16" s="5">
        <v>5</v>
      </c>
      <c r="I16" s="5">
        <v>5</v>
      </c>
    </row>
    <row r="17" spans="1:9" x14ac:dyDescent="0.2">
      <c r="A17" s="4" t="s">
        <v>13</v>
      </c>
      <c r="B17" s="5">
        <v>75</v>
      </c>
      <c r="C17" s="5">
        <v>76</v>
      </c>
      <c r="D17" s="5">
        <v>84</v>
      </c>
      <c r="F17" s="4" t="s">
        <v>13</v>
      </c>
      <c r="G17" s="5">
        <v>63</v>
      </c>
      <c r="H17" s="5">
        <v>36</v>
      </c>
      <c r="I17" s="5">
        <v>52</v>
      </c>
    </row>
    <row r="18" spans="1:9" x14ac:dyDescent="0.2">
      <c r="A18" s="6" t="s">
        <v>2</v>
      </c>
      <c r="B18" s="7">
        <f>B17*40*POWER(10,B16)*1000</f>
        <v>3000000000000</v>
      </c>
      <c r="C18" s="7">
        <f t="shared" ref="C18:D18" si="8">C17*40*POWER(10,C16)*1000</f>
        <v>3040000000000</v>
      </c>
      <c r="D18" s="7">
        <f t="shared" si="8"/>
        <v>3360000000000</v>
      </c>
      <c r="F18" s="6" t="s">
        <v>2</v>
      </c>
      <c r="G18" s="7">
        <f>G17*40*POWER(10,G16)*1000</f>
        <v>252000000000</v>
      </c>
      <c r="H18" s="7">
        <f t="shared" ref="H18:I18" si="9">H17*40*POWER(10,H16)*1000</f>
        <v>144000000000</v>
      </c>
      <c r="I18" s="7">
        <f t="shared" si="9"/>
        <v>208000000000</v>
      </c>
    </row>
    <row r="19" spans="1:9" x14ac:dyDescent="0.2">
      <c r="A19" s="8" t="s">
        <v>3</v>
      </c>
      <c r="B19" s="9">
        <v>5</v>
      </c>
      <c r="C19" s="9">
        <v>5</v>
      </c>
      <c r="D19" s="9">
        <v>5</v>
      </c>
      <c r="F19" s="8" t="s">
        <v>3</v>
      </c>
      <c r="G19" s="9">
        <v>5</v>
      </c>
      <c r="H19" s="9">
        <v>5</v>
      </c>
      <c r="I19" s="9">
        <v>5</v>
      </c>
    </row>
    <row r="20" spans="1:9" x14ac:dyDescent="0.2">
      <c r="A20" s="8" t="s">
        <v>14</v>
      </c>
      <c r="B20" s="9">
        <v>67</v>
      </c>
      <c r="C20" s="9">
        <v>69</v>
      </c>
      <c r="D20" s="9">
        <v>55</v>
      </c>
      <c r="F20" s="8" t="s">
        <v>14</v>
      </c>
      <c r="G20" s="9">
        <v>134</v>
      </c>
      <c r="H20" s="9">
        <v>152</v>
      </c>
      <c r="I20" s="9">
        <v>141</v>
      </c>
    </row>
    <row r="21" spans="1:9" x14ac:dyDescent="0.2">
      <c r="A21" s="8" t="s">
        <v>2</v>
      </c>
      <c r="B21" s="10">
        <f>B20*40*POWER(10,B19)*1000</f>
        <v>268000000000</v>
      </c>
      <c r="C21" s="10">
        <f t="shared" ref="C21:D21" si="10">C20*40*POWER(10,C19)*1000</f>
        <v>276000000000</v>
      </c>
      <c r="D21" s="10">
        <f t="shared" si="10"/>
        <v>220000000000</v>
      </c>
      <c r="F21" s="8" t="s">
        <v>2</v>
      </c>
      <c r="G21" s="10">
        <f>G20*40*POWER(10,G19)*1000</f>
        <v>536000000000</v>
      </c>
      <c r="H21" s="10">
        <f t="shared" ref="H21:I21" si="11">H20*40*POWER(10,H19)*1000</f>
        <v>608000000000</v>
      </c>
      <c r="I21" s="10">
        <f t="shared" si="11"/>
        <v>564000000000</v>
      </c>
    </row>
    <row r="22" spans="1:9" x14ac:dyDescent="0.2">
      <c r="A22" s="11" t="s">
        <v>4</v>
      </c>
      <c r="B22" s="12"/>
      <c r="C22" s="12"/>
      <c r="D22" s="12"/>
      <c r="F22" s="11" t="s">
        <v>4</v>
      </c>
      <c r="G22" s="12"/>
      <c r="H22" s="12"/>
      <c r="I22" s="12"/>
    </row>
    <row r="23" spans="1:9" x14ac:dyDescent="0.2">
      <c r="A23" s="11" t="s">
        <v>5</v>
      </c>
      <c r="B23" s="13"/>
      <c r="C23" s="13"/>
      <c r="D23" s="13"/>
      <c r="F23" s="11" t="s">
        <v>5</v>
      </c>
      <c r="G23" s="13"/>
      <c r="H23" s="13"/>
      <c r="I23" s="13"/>
    </row>
    <row r="24" spans="1:9" x14ac:dyDescent="0.2">
      <c r="A24" s="14" t="s">
        <v>6</v>
      </c>
      <c r="B24" s="15">
        <f>LOG(B21)</f>
        <v>11.428134794028789</v>
      </c>
      <c r="C24" s="15">
        <f t="shared" ref="C24:D24" si="12">LOG(C21)</f>
        <v>11.440909082065218</v>
      </c>
      <c r="D24" s="15">
        <f t="shared" si="12"/>
        <v>11.342422680822207</v>
      </c>
      <c r="F24" s="14" t="s">
        <v>6</v>
      </c>
      <c r="G24" s="15">
        <f>LOG(G21)</f>
        <v>11.729164789692771</v>
      </c>
      <c r="H24" s="15">
        <f t="shared" ref="H24:I24" si="13">LOG(H21)</f>
        <v>11.783903579272735</v>
      </c>
      <c r="I24" s="15">
        <f t="shared" si="13"/>
        <v>11.751279103983343</v>
      </c>
    </row>
    <row r="25" spans="1:9" x14ac:dyDescent="0.2">
      <c r="A25" s="14" t="s">
        <v>7</v>
      </c>
      <c r="B25" s="16">
        <f>LOG(B18)</f>
        <v>12.477121254719663</v>
      </c>
      <c r="C25" s="16">
        <f t="shared" ref="C25:D25" si="14">LOG(C18)</f>
        <v>12.482873583608754</v>
      </c>
      <c r="D25" s="16">
        <f t="shared" si="14"/>
        <v>12.526339277389845</v>
      </c>
      <c r="F25" s="14" t="s">
        <v>7</v>
      </c>
      <c r="G25" s="16">
        <f>LOG(G18)</f>
        <v>11.401400540781545</v>
      </c>
      <c r="H25" s="16">
        <f t="shared" ref="H25:I25" si="15">LOG(H18)</f>
        <v>11.15836249209525</v>
      </c>
      <c r="I25" s="16">
        <f t="shared" si="15"/>
        <v>11.318063334962762</v>
      </c>
    </row>
    <row r="27" spans="1:9" x14ac:dyDescent="0.2">
      <c r="A27" s="14" t="s">
        <v>8</v>
      </c>
      <c r="B27" s="16">
        <f>B5/B8</f>
        <v>19.561403508771932</v>
      </c>
      <c r="C27" s="16">
        <f t="shared" ref="C27:I27" si="16">C5/C8</f>
        <v>26.75</v>
      </c>
      <c r="D27" s="16">
        <f t="shared" si="16"/>
        <v>19.63963963963964</v>
      </c>
      <c r="E27" s="16"/>
      <c r="F27" s="16"/>
      <c r="G27" s="16">
        <f>G5/G8</f>
        <v>0.21578947368421053</v>
      </c>
      <c r="H27" s="16">
        <f t="shared" si="16"/>
        <v>0.26428571428571429</v>
      </c>
      <c r="I27" s="16">
        <f t="shared" si="16"/>
        <v>0.19702970297029704</v>
      </c>
    </row>
    <row r="28" spans="1:9" x14ac:dyDescent="0.2">
      <c r="A28" s="14" t="s">
        <v>9</v>
      </c>
      <c r="B28" s="16">
        <f>B18/B21</f>
        <v>11.194029850746269</v>
      </c>
      <c r="C28" s="16">
        <f t="shared" ref="C28:I28" si="17">C18/C21</f>
        <v>11.014492753623188</v>
      </c>
      <c r="D28" s="16">
        <f t="shared" si="17"/>
        <v>15.272727272727273</v>
      </c>
      <c r="E28" s="16"/>
      <c r="F28" s="16"/>
      <c r="G28" s="16">
        <f>G18/G21</f>
        <v>0.47014925373134331</v>
      </c>
      <c r="H28" s="16">
        <f t="shared" si="17"/>
        <v>0.23684210526315788</v>
      </c>
      <c r="I28" s="16">
        <f t="shared" si="17"/>
        <v>0.36879432624113473</v>
      </c>
    </row>
    <row r="29" spans="1:9" x14ac:dyDescent="0.2">
      <c r="A29" s="14" t="s">
        <v>11</v>
      </c>
      <c r="B29" s="16">
        <f>B28/B27</f>
        <v>0.57225085335653569</v>
      </c>
      <c r="C29" s="16">
        <f t="shared" ref="C29:I29" si="18">C28/C27</f>
        <v>0.41175673845320326</v>
      </c>
      <c r="D29" s="16">
        <f t="shared" si="18"/>
        <v>0.77764804003336119</v>
      </c>
      <c r="E29" s="16"/>
      <c r="F29" s="16"/>
      <c r="G29" s="16">
        <f>G28/G27</f>
        <v>2.1787404441208591</v>
      </c>
      <c r="H29" s="16">
        <f t="shared" si="18"/>
        <v>0.89615931721194875</v>
      </c>
      <c r="I29" s="16">
        <f t="shared" si="18"/>
        <v>1.8717701985102817</v>
      </c>
    </row>
    <row r="30" spans="1:9" x14ac:dyDescent="0.2">
      <c r="A30" s="14" t="s">
        <v>10</v>
      </c>
      <c r="B30" s="16">
        <f>LOG(B29)</f>
        <v>-0.24241355102081447</v>
      </c>
      <c r="C30" s="16">
        <f t="shared" ref="C30:I30" si="19">LOG(C29)</f>
        <v>-0.38535928481371123</v>
      </c>
      <c r="D30" s="16">
        <f t="shared" si="19"/>
        <v>-0.10921691825030955</v>
      </c>
      <c r="E30" s="16"/>
      <c r="F30" s="16"/>
      <c r="G30" s="16">
        <f>LOG(G29)</f>
        <v>0.33820549532186756</v>
      </c>
      <c r="H30" s="16">
        <f t="shared" si="19"/>
        <v>-4.7614775566242273E-2</v>
      </c>
      <c r="I30" s="16">
        <f t="shared" si="19"/>
        <v>0.27225252835235514</v>
      </c>
    </row>
    <row r="35" spans="9:9" x14ac:dyDescent="0.25">
      <c r="I35" s="1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0+24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王豐錡</dc:creator>
  <cp:lastModifiedBy>王廣宇</cp:lastModifiedBy>
  <dcterms:created xsi:type="dcterms:W3CDTF">2026-01-12T06:20:02Z</dcterms:created>
  <dcterms:modified xsi:type="dcterms:W3CDTF">2026-05-18T03:31:59Z</dcterms:modified>
</cp:coreProperties>
</file>